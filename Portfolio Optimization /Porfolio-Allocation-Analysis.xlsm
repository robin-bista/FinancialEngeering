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814" codeName="{A63ED3A1-9429-3D75-F2AA-CA7E51A8F3A1}"/>
  <workbookPr codeName="ThisWorkbook"/>
  <mc:AlternateContent xmlns:mc="http://schemas.openxmlformats.org/markup-compatibility/2006">
    <mc:Choice Requires="x15">
      <x15ac:absPath xmlns:x15ac="http://schemas.microsoft.com/office/spreadsheetml/2010/11/ac" url="/Users/robinbista/Desktop/Finacial-Engineering-Projects/"/>
    </mc:Choice>
  </mc:AlternateContent>
  <xr:revisionPtr revIDLastSave="0" documentId="13_ncr:1_{1F0C503B-E8CD-184B-AAFD-DCCA8910D60B}" xr6:coauthVersionLast="47" xr6:coauthVersionMax="47" xr10:uidLastSave="{00000000-0000-0000-0000-000000000000}"/>
  <bookViews>
    <workbookView xWindow="2320" yWindow="500" windowWidth="23260" windowHeight="12580" firstSheet="6" activeTab="6" xr2:uid="{00000000-000D-0000-FFFF-FFFF00000000}"/>
  </bookViews>
  <sheets>
    <sheet name="Intro Sheet" sheetId="9" r:id="rId1"/>
    <sheet name="Adj. Price &amp; Expected Return" sheetId="1" r:id="rId2"/>
    <sheet name="Expected Return &amp; Cov. Matrix" sheetId="2" r:id="rId3"/>
    <sheet name="Max-min Return and Risk" sheetId="3" r:id="rId4"/>
    <sheet name="Unconst. Efficient Frontier" sheetId="4" r:id="rId5"/>
    <sheet name="Const. Efficient Frontier" sheetId="5" r:id="rId6"/>
    <sheet name="Min Var and Max Ret. Portfolio" sheetId="6" r:id="rId7"/>
    <sheet name="Long Term Return Series" sheetId="7" r:id="rId8"/>
    <sheet name=" Long and Short Term Comparison" sheetId="8" r:id="rId9"/>
  </sheets>
  <functionGroups builtInGroupCount="19"/>
  <definedNames>
    <definedName name="change1">'Unconst. Efficient Frontier'!$I$12:$L$12</definedName>
    <definedName name="change2">'Const. Efficient Frontier'!$K$10:$N$10</definedName>
    <definedName name="change3">'Long Term Return Series'!$Q$37:$S$37</definedName>
    <definedName name="effwts1">'Unconst. Efficient Frontier'!$D$26</definedName>
    <definedName name="effwts2">'Const. Efficient Frontier'!$D$26</definedName>
    <definedName name="maxwts">'Long Term Return Series'!$Q$39:$T$39</definedName>
    <definedName name="minwts">'Long Term Return Series'!$Q$38:$T$38</definedName>
    <definedName name="niter1">'Unconst. Efficient Frontier'!$J$21</definedName>
    <definedName name="niter2">'Const. Efficient Frontier'!$L$18</definedName>
    <definedName name="portmax1">'Unconst. Efficient Frontier'!$I$13:$M$13</definedName>
    <definedName name="portmax2">'Const. Efficient Frontier'!$J$11:$N$11</definedName>
    <definedName name="portmin1">'Unconst. Efficient Frontier'!$I$11:$M$11</definedName>
    <definedName name="portmin2">'Const. Efficient Frontier'!$J$9:$N$9</definedName>
    <definedName name="portret1">'Unconst. Efficient Frontier'!$J$17</definedName>
    <definedName name="portret2">'Const. Efficient Frontier'!$L$14</definedName>
    <definedName name="portret3">'Long Term Return Series'!$Q$31</definedName>
    <definedName name="portsd1">'Unconst. Efficient Frontier'!$J$18</definedName>
    <definedName name="portsd2">'Const. Efficient Frontier'!$L$15</definedName>
    <definedName name="portstd3">'Long Term Return Series'!$Q$33</definedName>
    <definedName name="portwts1">'Unconst. Efficient Frontier'!$I$12:$M$12</definedName>
    <definedName name="portwts2">'Const. Efficient Frontier'!$J$10:$N$10</definedName>
    <definedName name="portwts3">'Long Term Return Series'!$Q$37:$T$37</definedName>
    <definedName name="portwts4">'Long Term Return Series'!$X$37:$AA$37</definedName>
    <definedName name="priter1">'Unconst. Efficient Frontier'!$J$22</definedName>
    <definedName name="priter2">'Const. Efficient Frontier'!$L$19</definedName>
    <definedName name="solver_adj" localSheetId="5" hidden="1">'Const. Efficient Frontier'!$K$10:$N$10</definedName>
    <definedName name="solver_adj" localSheetId="7" hidden="1">'Long Term Return Series'!$AL$37:$AN$37</definedName>
    <definedName name="solver_adj" localSheetId="4" hidden="1">'Unconst. Efficient Frontier'!$I$12:$L$12</definedName>
    <definedName name="solver_cvg" localSheetId="5" hidden="1">0.0001</definedName>
    <definedName name="solver_cvg" localSheetId="7" hidden="1">0.0001</definedName>
    <definedName name="solver_cvg" localSheetId="4" hidden="1">0.0001</definedName>
    <definedName name="solver_drv" localSheetId="5" hidden="1">2</definedName>
    <definedName name="solver_drv" localSheetId="7" hidden="1">2</definedName>
    <definedName name="solver_drv" localSheetId="4" hidden="1">1</definedName>
    <definedName name="solver_eng" localSheetId="5" hidden="1">1</definedName>
    <definedName name="solver_eng" localSheetId="7" hidden="1">1</definedName>
    <definedName name="solver_eng" localSheetId="4" hidden="1">1</definedName>
    <definedName name="solver_est" localSheetId="5" hidden="1">1</definedName>
    <definedName name="solver_est" localSheetId="7" hidden="1">1</definedName>
    <definedName name="solver_est" localSheetId="4" hidden="1">1</definedName>
    <definedName name="solver_itr" localSheetId="5" hidden="1">2147483647</definedName>
    <definedName name="solver_itr" localSheetId="7" hidden="1">2147483647</definedName>
    <definedName name="solver_itr" localSheetId="4" hidden="1">2147483647</definedName>
    <definedName name="solver_lhs1" localSheetId="5" hidden="1">'Const. Efficient Frontier'!$J$10:$N$10</definedName>
    <definedName name="solver_lhs1" localSheetId="7" hidden="1">'Long Term Return Series'!$AL$37:$AO$37</definedName>
    <definedName name="solver_lhs1" localSheetId="4" hidden="1">'Unconst. Efficient Frontier'!$I$12:$M$12</definedName>
    <definedName name="solver_lhs2" localSheetId="5" hidden="1">'Const. Efficient Frontier'!$J$10:$N$10</definedName>
    <definedName name="solver_lhs2" localSheetId="7" hidden="1">'Long Term Return Series'!$AL$37:$AO$37</definedName>
    <definedName name="solver_lhs2" localSheetId="4" hidden="1">'Unconst. Efficient Frontier'!$I$12:$M$12</definedName>
    <definedName name="solver_lhs3" localSheetId="5" hidden="1">'Const. Efficient Frontier'!$L$14</definedName>
    <definedName name="solver_lhs3" localSheetId="4" hidden="1">'Unconst. Efficient Frontier'!$J$17</definedName>
    <definedName name="solver_mip" localSheetId="5" hidden="1">2147483647</definedName>
    <definedName name="solver_mip" localSheetId="7" hidden="1">2147483647</definedName>
    <definedName name="solver_mip" localSheetId="4" hidden="1">2147483647</definedName>
    <definedName name="solver_mni" localSheetId="5" hidden="1">30</definedName>
    <definedName name="solver_mni" localSheetId="7" hidden="1">30</definedName>
    <definedName name="solver_mni" localSheetId="4" hidden="1">30</definedName>
    <definedName name="solver_mrt" localSheetId="5" hidden="1">0.075</definedName>
    <definedName name="solver_mrt" localSheetId="7" hidden="1">0.075</definedName>
    <definedName name="solver_mrt" localSheetId="4" hidden="1">0.075</definedName>
    <definedName name="solver_msl" localSheetId="5" hidden="1">2</definedName>
    <definedName name="solver_msl" localSheetId="7" hidden="1">2</definedName>
    <definedName name="solver_msl" localSheetId="4" hidden="1">2</definedName>
    <definedName name="solver_neg" localSheetId="5" hidden="1">1</definedName>
    <definedName name="solver_neg" localSheetId="7" hidden="1">1</definedName>
    <definedName name="solver_neg" localSheetId="4" hidden="1">1</definedName>
    <definedName name="solver_nod" localSheetId="5" hidden="1">2147483647</definedName>
    <definedName name="solver_nod" localSheetId="7" hidden="1">2147483647</definedName>
    <definedName name="solver_nod" localSheetId="4" hidden="1">2147483647</definedName>
    <definedName name="solver_num" localSheetId="5" hidden="1">3</definedName>
    <definedName name="solver_num" localSheetId="7" hidden="1">2</definedName>
    <definedName name="solver_num" localSheetId="4" hidden="1">3</definedName>
    <definedName name="solver_nwt" localSheetId="5" hidden="1">1</definedName>
    <definedName name="solver_nwt" localSheetId="7" hidden="1">1</definedName>
    <definedName name="solver_nwt" localSheetId="4" hidden="1">1</definedName>
    <definedName name="solver_opt" localSheetId="5" hidden="1">'Const. Efficient Frontier'!$L$15</definedName>
    <definedName name="solver_opt" localSheetId="7" hidden="1">'Long Term Return Series'!$AL$32</definedName>
    <definedName name="solver_opt" localSheetId="4" hidden="1">'Unconst. Efficient Frontier'!$J$18</definedName>
    <definedName name="solver_pre" localSheetId="5" hidden="1">0.000001</definedName>
    <definedName name="solver_pre" localSheetId="7" hidden="1">0.000001</definedName>
    <definedName name="solver_pre" localSheetId="4" hidden="1">0.000001</definedName>
    <definedName name="solver_rbv" localSheetId="5" hidden="1">2</definedName>
    <definedName name="solver_rbv" localSheetId="7" hidden="1">2</definedName>
    <definedName name="solver_rbv" localSheetId="4" hidden="1">1</definedName>
    <definedName name="solver_rel1" localSheetId="5" hidden="1">3</definedName>
    <definedName name="solver_rel1" localSheetId="7" hidden="1">1</definedName>
    <definedName name="solver_rel1" localSheetId="4" hidden="1">3</definedName>
    <definedName name="solver_rel2" localSheetId="5" hidden="1">1</definedName>
    <definedName name="solver_rel2" localSheetId="7" hidden="1">3</definedName>
    <definedName name="solver_rel2" localSheetId="4" hidden="1">1</definedName>
    <definedName name="solver_rel3" localSheetId="5" hidden="1">2</definedName>
    <definedName name="solver_rel3" localSheetId="4" hidden="1">2</definedName>
    <definedName name="solver_rhs1" localSheetId="5" hidden="1">'Const. Efficient Frontier'!$J$9:$N$9</definedName>
    <definedName name="solver_rhs1" localSheetId="7" hidden="1">'Long Term Return Series'!$AL$39:$AO$39</definedName>
    <definedName name="solver_rhs1" localSheetId="4" hidden="1">'Unconst. Efficient Frontier'!$I$11:$M$11</definedName>
    <definedName name="solver_rhs2" localSheetId="5" hidden="1">'Const. Efficient Frontier'!$J$11:$N$11</definedName>
    <definedName name="solver_rhs2" localSheetId="7" hidden="1">'Long Term Return Series'!$AL$38:$AO$38</definedName>
    <definedName name="solver_rhs2" localSheetId="4" hidden="1">'Unconst. Efficient Frontier'!$I$13:$M$13</definedName>
    <definedName name="solver_rhs3" localSheetId="5" hidden="1">'Const. Efficient Frontier'!$L$19</definedName>
    <definedName name="solver_rhs3" localSheetId="4" hidden="1">'Unconst. Efficient Frontier'!$J$22</definedName>
    <definedName name="solver_rlx" localSheetId="5" hidden="1">2</definedName>
    <definedName name="solver_rlx" localSheetId="7" hidden="1">2</definedName>
    <definedName name="solver_rlx" localSheetId="4" hidden="1">2</definedName>
    <definedName name="solver_rsd" localSheetId="5" hidden="1">0</definedName>
    <definedName name="solver_rsd" localSheetId="7" hidden="1">0</definedName>
    <definedName name="solver_rsd" localSheetId="4" hidden="1">0</definedName>
    <definedName name="solver_scl" localSheetId="5" hidden="1">2</definedName>
    <definedName name="solver_scl" localSheetId="7" hidden="1">2</definedName>
    <definedName name="solver_scl" localSheetId="4" hidden="1">1</definedName>
    <definedName name="solver_sho" localSheetId="5" hidden="1">2</definedName>
    <definedName name="solver_sho" localSheetId="7" hidden="1">2</definedName>
    <definedName name="solver_sho" localSheetId="4" hidden="1">2</definedName>
    <definedName name="solver_ssz" localSheetId="5" hidden="1">100</definedName>
    <definedName name="solver_ssz" localSheetId="7" hidden="1">100</definedName>
    <definedName name="solver_ssz" localSheetId="4" hidden="1">100</definedName>
    <definedName name="solver_tim" localSheetId="5" hidden="1">2147483647</definedName>
    <definedName name="solver_tim" localSheetId="7" hidden="1">2147483647</definedName>
    <definedName name="solver_tim" localSheetId="4" hidden="1">2147483647</definedName>
    <definedName name="solver_tol" localSheetId="5" hidden="1">0.01</definedName>
    <definedName name="solver_tol" localSheetId="7" hidden="1">0.01</definedName>
    <definedName name="solver_tol" localSheetId="4" hidden="1">0.01</definedName>
    <definedName name="solver_typ" localSheetId="5" hidden="1">2</definedName>
    <definedName name="solver_typ" localSheetId="7" hidden="1">2</definedName>
    <definedName name="solver_typ" localSheetId="4" hidden="1">2</definedName>
    <definedName name="solver_val" localSheetId="5" hidden="1">0</definedName>
    <definedName name="solver_val" localSheetId="7" hidden="1">0</definedName>
    <definedName name="solver_val" localSheetId="4" hidden="1">0</definedName>
    <definedName name="solver_ver" localSheetId="5" hidden="1">3</definedName>
    <definedName name="solver_ver" localSheetId="7" hidden="1">3</definedName>
    <definedName name="solver_ver" localSheetId="4" hidden="1">3</definedName>
    <definedName name="target1">'Unconst. Efficient Frontier'!$J$5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0" i="5" l="1"/>
  <c r="I13" i="8" l="1"/>
  <c r="M9" i="8"/>
  <c r="M8" i="8"/>
  <c r="G8" i="8"/>
  <c r="M7" i="8"/>
  <c r="G7" i="8"/>
  <c r="M6" i="8"/>
  <c r="G6" i="8"/>
  <c r="L14" i="5"/>
  <c r="L15" i="5"/>
  <c r="M8" i="7" l="1"/>
  <c r="M7" i="7"/>
  <c r="M6" i="7"/>
  <c r="M5" i="7"/>
  <c r="G7" i="7"/>
  <c r="G6" i="7"/>
  <c r="G5" i="7"/>
  <c r="AO47" i="7"/>
  <c r="AO37" i="7"/>
  <c r="AH47" i="7"/>
  <c r="AH43" i="7"/>
  <c r="AH37" i="7"/>
  <c r="AA47" i="7"/>
  <c r="AA43" i="7"/>
  <c r="AA37" i="7"/>
  <c r="T47" i="7"/>
  <c r="T43" i="7"/>
  <c r="T37" i="7"/>
  <c r="M19" i="7"/>
  <c r="M20" i="7"/>
  <c r="M21" i="7"/>
  <c r="M22" i="7"/>
  <c r="M23" i="7"/>
  <c r="M24" i="7"/>
  <c r="M25" i="7"/>
  <c r="M26" i="7"/>
  <c r="M27" i="7"/>
  <c r="M28" i="7"/>
  <c r="M29" i="7"/>
  <c r="M30" i="7"/>
  <c r="M31" i="7"/>
  <c r="M32" i="7"/>
  <c r="M33" i="7"/>
  <c r="M34" i="7"/>
  <c r="M35" i="7"/>
  <c r="M36" i="7"/>
  <c r="M37" i="7"/>
  <c r="M38" i="7"/>
  <c r="M39" i="7"/>
  <c r="M40" i="7"/>
  <c r="M41" i="7"/>
  <c r="M42" i="7"/>
  <c r="M43" i="7"/>
  <c r="M44" i="7"/>
  <c r="M45" i="7"/>
  <c r="M46" i="7"/>
  <c r="M47" i="7"/>
  <c r="M48" i="7"/>
  <c r="M49" i="7"/>
  <c r="M50" i="7"/>
  <c r="M51" i="7"/>
  <c r="M52" i="7"/>
  <c r="M53" i="7"/>
  <c r="M54" i="7"/>
  <c r="M55" i="7"/>
  <c r="M56" i="7"/>
  <c r="M57" i="7"/>
  <c r="M58" i="7"/>
  <c r="M59" i="7"/>
  <c r="M60" i="7"/>
  <c r="M61" i="7"/>
  <c r="M62" i="7"/>
  <c r="M63" i="7"/>
  <c r="M64" i="7"/>
  <c r="M65" i="7"/>
  <c r="M66" i="7"/>
  <c r="M67" i="7"/>
  <c r="M68" i="7"/>
  <c r="M69" i="7"/>
  <c r="M70" i="7"/>
  <c r="M71" i="7"/>
  <c r="M72" i="7"/>
  <c r="M73" i="7"/>
  <c r="M74" i="7"/>
  <c r="M75" i="7"/>
  <c r="M76" i="7"/>
  <c r="M77" i="7"/>
  <c r="M78" i="7"/>
  <c r="M79" i="7"/>
  <c r="M80" i="7"/>
  <c r="M81" i="7"/>
  <c r="M82" i="7"/>
  <c r="M83" i="7"/>
  <c r="M84" i="7"/>
  <c r="M85" i="7"/>
  <c r="M86" i="7"/>
  <c r="M87" i="7"/>
  <c r="M88" i="7"/>
  <c r="M89" i="7"/>
  <c r="M90" i="7"/>
  <c r="M91" i="7"/>
  <c r="M92" i="7"/>
  <c r="M93" i="7"/>
  <c r="M94" i="7"/>
  <c r="M95" i="7"/>
  <c r="M96" i="7"/>
  <c r="M97" i="7"/>
  <c r="M98" i="7"/>
  <c r="M99" i="7"/>
  <c r="M100" i="7"/>
  <c r="M101" i="7"/>
  <c r="M102" i="7"/>
  <c r="M103" i="7"/>
  <c r="M104" i="7"/>
  <c r="M105" i="7"/>
  <c r="M106" i="7"/>
  <c r="M107" i="7"/>
  <c r="M108" i="7"/>
  <c r="M109" i="7"/>
  <c r="M110" i="7"/>
  <c r="M111" i="7"/>
  <c r="M112" i="7"/>
  <c r="M113" i="7"/>
  <c r="M114" i="7"/>
  <c r="M115" i="7"/>
  <c r="M116" i="7"/>
  <c r="M117" i="7"/>
  <c r="M118" i="7"/>
  <c r="M119" i="7"/>
  <c r="M120" i="7"/>
  <c r="M121" i="7"/>
  <c r="M122" i="7"/>
  <c r="M123" i="7"/>
  <c r="M124" i="7"/>
  <c r="M125" i="7"/>
  <c r="M126" i="7"/>
  <c r="M127" i="7"/>
  <c r="M128" i="7"/>
  <c r="M129" i="7"/>
  <c r="M130" i="7"/>
  <c r="M131" i="7"/>
  <c r="M132" i="7"/>
  <c r="M133" i="7"/>
  <c r="M134" i="7"/>
  <c r="M135" i="7"/>
  <c r="M136" i="7"/>
  <c r="M137" i="7"/>
  <c r="M138" i="7"/>
  <c r="M139" i="7"/>
  <c r="M140" i="7"/>
  <c r="M141" i="7"/>
  <c r="M142" i="7"/>
  <c r="M143" i="7"/>
  <c r="M144" i="7"/>
  <c r="M145" i="7"/>
  <c r="M146" i="7"/>
  <c r="M147" i="7"/>
  <c r="M148" i="7"/>
  <c r="M149" i="7"/>
  <c r="M150" i="7"/>
  <c r="M151" i="7"/>
  <c r="M152" i="7"/>
  <c r="M153" i="7"/>
  <c r="M154" i="7"/>
  <c r="M155" i="7"/>
  <c r="M156" i="7"/>
  <c r="M157" i="7"/>
  <c r="M158" i="7"/>
  <c r="M159" i="7"/>
  <c r="M160" i="7"/>
  <c r="M161" i="7"/>
  <c r="M162" i="7"/>
  <c r="M163" i="7"/>
  <c r="M164" i="7"/>
  <c r="M165" i="7"/>
  <c r="M166" i="7"/>
  <c r="M167" i="7"/>
  <c r="M168" i="7"/>
  <c r="M169" i="7"/>
  <c r="M170" i="7"/>
  <c r="M171" i="7"/>
  <c r="M172" i="7"/>
  <c r="M173" i="7"/>
  <c r="M174" i="7"/>
  <c r="M175" i="7"/>
  <c r="M176" i="7"/>
  <c r="M177" i="7"/>
  <c r="M178" i="7"/>
  <c r="M179" i="7"/>
  <c r="M180" i="7"/>
  <c r="M181" i="7"/>
  <c r="M182" i="7"/>
  <c r="M183" i="7"/>
  <c r="M184" i="7"/>
  <c r="M185" i="7"/>
  <c r="M186" i="7"/>
  <c r="M187" i="7"/>
  <c r="M188" i="7"/>
  <c r="M189" i="7"/>
  <c r="M190" i="7"/>
  <c r="M191" i="7"/>
  <c r="M192" i="7"/>
  <c r="M193" i="7"/>
  <c r="M194" i="7"/>
  <c r="M195" i="7"/>
  <c r="M196" i="7"/>
  <c r="M197" i="7"/>
  <c r="M198" i="7"/>
  <c r="M199" i="7"/>
  <c r="M200" i="7"/>
  <c r="M201" i="7"/>
  <c r="M202" i="7"/>
  <c r="M203" i="7"/>
  <c r="M204" i="7"/>
  <c r="M205" i="7"/>
  <c r="M206" i="7"/>
  <c r="M207" i="7"/>
  <c r="M208" i="7"/>
  <c r="M209" i="7"/>
  <c r="M210" i="7"/>
  <c r="M211" i="7"/>
  <c r="M212" i="7"/>
  <c r="M213" i="7"/>
  <c r="M214" i="7"/>
  <c r="M215" i="7"/>
  <c r="M216" i="7"/>
  <c r="M217" i="7"/>
  <c r="M218" i="7"/>
  <c r="M219" i="7"/>
  <c r="M220" i="7"/>
  <c r="M221" i="7"/>
  <c r="M222" i="7"/>
  <c r="M223" i="7"/>
  <c r="M224" i="7"/>
  <c r="M225" i="7"/>
  <c r="M226" i="7"/>
  <c r="M227" i="7"/>
  <c r="M228" i="7"/>
  <c r="M229" i="7"/>
  <c r="M230" i="7"/>
  <c r="M231" i="7"/>
  <c r="M232" i="7"/>
  <c r="M233" i="7"/>
  <c r="M234" i="7"/>
  <c r="M235" i="7"/>
  <c r="M236" i="7"/>
  <c r="M237" i="7"/>
  <c r="M238" i="7"/>
  <c r="M239" i="7"/>
  <c r="M240" i="7"/>
  <c r="M241" i="7"/>
  <c r="M242" i="7"/>
  <c r="M243" i="7"/>
  <c r="M244" i="7"/>
  <c r="M245" i="7"/>
  <c r="M246" i="7"/>
  <c r="M247" i="7"/>
  <c r="M248" i="7"/>
  <c r="M249" i="7"/>
  <c r="M250" i="7"/>
  <c r="M251" i="7"/>
  <c r="M252" i="7"/>
  <c r="M253" i="7"/>
  <c r="M254" i="7"/>
  <c r="M255" i="7"/>
  <c r="M256" i="7"/>
  <c r="M257" i="7"/>
  <c r="M258" i="7"/>
  <c r="M259" i="7"/>
  <c r="M260" i="7"/>
  <c r="M261" i="7"/>
  <c r="M262" i="7"/>
  <c r="M263" i="7"/>
  <c r="M264" i="7"/>
  <c r="M265" i="7"/>
  <c r="M266" i="7"/>
  <c r="M267" i="7"/>
  <c r="M268" i="7"/>
  <c r="M269" i="7"/>
  <c r="M270" i="7"/>
  <c r="M271" i="7"/>
  <c r="M272" i="7"/>
  <c r="M273" i="7"/>
  <c r="M274" i="7"/>
  <c r="M275" i="7"/>
  <c r="M276" i="7"/>
  <c r="M277" i="7"/>
  <c r="M278" i="7"/>
  <c r="M279" i="7"/>
  <c r="M280" i="7"/>
  <c r="M281" i="7"/>
  <c r="M282" i="7"/>
  <c r="M283" i="7"/>
  <c r="M284" i="7"/>
  <c r="M285" i="7"/>
  <c r="M286" i="7"/>
  <c r="M287" i="7"/>
  <c r="M288" i="7"/>
  <c r="M289" i="7"/>
  <c r="M290" i="7"/>
  <c r="M291" i="7"/>
  <c r="M292" i="7"/>
  <c r="M293" i="7"/>
  <c r="M294" i="7"/>
  <c r="M295" i="7"/>
  <c r="M296" i="7"/>
  <c r="M297" i="7"/>
  <c r="M298" i="7"/>
  <c r="M299" i="7"/>
  <c r="M300" i="7"/>
  <c r="M301" i="7"/>
  <c r="M302" i="7"/>
  <c r="M303" i="7"/>
  <c r="M304" i="7"/>
  <c r="M305" i="7"/>
  <c r="M306" i="7"/>
  <c r="M307" i="7"/>
  <c r="M308" i="7"/>
  <c r="M309" i="7"/>
  <c r="M310" i="7"/>
  <c r="M311" i="7"/>
  <c r="M312" i="7"/>
  <c r="M313" i="7"/>
  <c r="M314" i="7"/>
  <c r="M315" i="7"/>
  <c r="M316" i="7"/>
  <c r="M317" i="7"/>
  <c r="M318" i="7"/>
  <c r="M319" i="7"/>
  <c r="M320" i="7"/>
  <c r="M321" i="7"/>
  <c r="M322" i="7"/>
  <c r="M323" i="7"/>
  <c r="M324" i="7"/>
  <c r="M325" i="7"/>
  <c r="M326" i="7"/>
  <c r="M327" i="7"/>
  <c r="M328" i="7"/>
  <c r="M329" i="7"/>
  <c r="M330" i="7"/>
  <c r="M331" i="7"/>
  <c r="M332" i="7"/>
  <c r="M333" i="7"/>
  <c r="M334" i="7"/>
  <c r="M335" i="7"/>
  <c r="M336" i="7"/>
  <c r="M337" i="7"/>
  <c r="M338" i="7"/>
  <c r="M339" i="7"/>
  <c r="M340" i="7"/>
  <c r="M341" i="7"/>
  <c r="M342" i="7"/>
  <c r="M343" i="7"/>
  <c r="M344" i="7"/>
  <c r="M345" i="7"/>
  <c r="M346" i="7"/>
  <c r="M347" i="7"/>
  <c r="M348" i="7"/>
  <c r="M349" i="7"/>
  <c r="M350" i="7"/>
  <c r="M351" i="7"/>
  <c r="M352" i="7"/>
  <c r="M353" i="7"/>
  <c r="M354" i="7"/>
  <c r="M355" i="7"/>
  <c r="M356" i="7"/>
  <c r="M357" i="7"/>
  <c r="M358" i="7"/>
  <c r="M359" i="7"/>
  <c r="M360" i="7"/>
  <c r="M361" i="7"/>
  <c r="M362" i="7"/>
  <c r="M363" i="7"/>
  <c r="M364" i="7"/>
  <c r="M365" i="7"/>
  <c r="M366" i="7"/>
  <c r="M367" i="7"/>
  <c r="M368" i="7"/>
  <c r="M369" i="7"/>
  <c r="M370" i="7"/>
  <c r="M371" i="7"/>
  <c r="M372" i="7"/>
  <c r="M373" i="7"/>
  <c r="M374" i="7"/>
  <c r="M375" i="7"/>
  <c r="M376" i="7"/>
  <c r="M377" i="7"/>
  <c r="M378" i="7"/>
  <c r="M379" i="7"/>
  <c r="M380" i="7"/>
  <c r="M381" i="7"/>
  <c r="M382" i="7"/>
  <c r="M383" i="7"/>
  <c r="M384" i="7"/>
  <c r="M385" i="7"/>
  <c r="M386" i="7"/>
  <c r="M387" i="7"/>
  <c r="M388" i="7"/>
  <c r="M389" i="7"/>
  <c r="M390" i="7"/>
  <c r="M391" i="7"/>
  <c r="M392" i="7"/>
  <c r="M393" i="7"/>
  <c r="M394" i="7"/>
  <c r="M395" i="7"/>
  <c r="M396" i="7"/>
  <c r="M397" i="7"/>
  <c r="M398" i="7"/>
  <c r="M399" i="7"/>
  <c r="M400" i="7"/>
  <c r="M401" i="7"/>
  <c r="M402" i="7"/>
  <c r="M403" i="7"/>
  <c r="M404" i="7"/>
  <c r="M405" i="7"/>
  <c r="M406" i="7"/>
  <c r="M407" i="7"/>
  <c r="M408" i="7"/>
  <c r="M409" i="7"/>
  <c r="M410" i="7"/>
  <c r="M411" i="7"/>
  <c r="M412" i="7"/>
  <c r="M413" i="7"/>
  <c r="M414" i="7"/>
  <c r="M415" i="7"/>
  <c r="M416" i="7"/>
  <c r="M417" i="7"/>
  <c r="M418" i="7"/>
  <c r="M419" i="7"/>
  <c r="M420" i="7"/>
  <c r="M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J65" i="7"/>
  <c r="J66" i="7"/>
  <c r="J67" i="7"/>
  <c r="J68" i="7"/>
  <c r="J69" i="7"/>
  <c r="J70" i="7"/>
  <c r="J71" i="7"/>
  <c r="J72" i="7"/>
  <c r="J73" i="7"/>
  <c r="J74" i="7"/>
  <c r="J75" i="7"/>
  <c r="J76" i="7"/>
  <c r="J77" i="7"/>
  <c r="J78" i="7"/>
  <c r="J79" i="7"/>
  <c r="J80" i="7"/>
  <c r="J81" i="7"/>
  <c r="J82" i="7"/>
  <c r="J83" i="7"/>
  <c r="J84" i="7"/>
  <c r="J85" i="7"/>
  <c r="J86" i="7"/>
  <c r="J87" i="7"/>
  <c r="J88" i="7"/>
  <c r="J89" i="7"/>
  <c r="J90" i="7"/>
  <c r="J91" i="7"/>
  <c r="J92" i="7"/>
  <c r="J93" i="7"/>
  <c r="J94" i="7"/>
  <c r="J95" i="7"/>
  <c r="J96" i="7"/>
  <c r="J97" i="7"/>
  <c r="J98" i="7"/>
  <c r="J99" i="7"/>
  <c r="J100" i="7"/>
  <c r="J101" i="7"/>
  <c r="J102" i="7"/>
  <c r="J103" i="7"/>
  <c r="J104" i="7"/>
  <c r="J105" i="7"/>
  <c r="J106" i="7"/>
  <c r="J107" i="7"/>
  <c r="J108" i="7"/>
  <c r="J109" i="7"/>
  <c r="J110" i="7"/>
  <c r="J111" i="7"/>
  <c r="J112" i="7"/>
  <c r="J113" i="7"/>
  <c r="J114" i="7"/>
  <c r="J115" i="7"/>
  <c r="J116" i="7"/>
  <c r="J117" i="7"/>
  <c r="J118" i="7"/>
  <c r="J119" i="7"/>
  <c r="J120" i="7"/>
  <c r="J121" i="7"/>
  <c r="J122" i="7"/>
  <c r="J123" i="7"/>
  <c r="J124" i="7"/>
  <c r="J125" i="7"/>
  <c r="J126" i="7"/>
  <c r="J127" i="7"/>
  <c r="J128" i="7"/>
  <c r="J129" i="7"/>
  <c r="J130" i="7"/>
  <c r="J131" i="7"/>
  <c r="J132" i="7"/>
  <c r="J133" i="7"/>
  <c r="J134" i="7"/>
  <c r="J135" i="7"/>
  <c r="J136" i="7"/>
  <c r="J137" i="7"/>
  <c r="J138" i="7"/>
  <c r="J139" i="7"/>
  <c r="J140" i="7"/>
  <c r="J141" i="7"/>
  <c r="J142" i="7"/>
  <c r="J143" i="7"/>
  <c r="J144" i="7"/>
  <c r="J145" i="7"/>
  <c r="J146" i="7"/>
  <c r="J147" i="7"/>
  <c r="J148" i="7"/>
  <c r="J149" i="7"/>
  <c r="J150" i="7"/>
  <c r="J151" i="7"/>
  <c r="J152" i="7"/>
  <c r="J153" i="7"/>
  <c r="J154" i="7"/>
  <c r="J155" i="7"/>
  <c r="J156" i="7"/>
  <c r="J157" i="7"/>
  <c r="J158" i="7"/>
  <c r="J159" i="7"/>
  <c r="J160" i="7"/>
  <c r="J161" i="7"/>
  <c r="J162" i="7"/>
  <c r="J163" i="7"/>
  <c r="J164" i="7"/>
  <c r="J165" i="7"/>
  <c r="J166" i="7"/>
  <c r="J167" i="7"/>
  <c r="J168" i="7"/>
  <c r="J169" i="7"/>
  <c r="J170" i="7"/>
  <c r="J171" i="7"/>
  <c r="J172" i="7"/>
  <c r="J173" i="7"/>
  <c r="J174" i="7"/>
  <c r="J175" i="7"/>
  <c r="J176" i="7"/>
  <c r="J177" i="7"/>
  <c r="J178" i="7"/>
  <c r="J179" i="7"/>
  <c r="J180" i="7"/>
  <c r="J181" i="7"/>
  <c r="J182" i="7"/>
  <c r="J183" i="7"/>
  <c r="J184" i="7"/>
  <c r="J185" i="7"/>
  <c r="J186" i="7"/>
  <c r="J187" i="7"/>
  <c r="J188" i="7"/>
  <c r="J189" i="7"/>
  <c r="J190" i="7"/>
  <c r="J191" i="7"/>
  <c r="J192" i="7"/>
  <c r="J193" i="7"/>
  <c r="J194" i="7"/>
  <c r="J195" i="7"/>
  <c r="J196" i="7"/>
  <c r="J197" i="7"/>
  <c r="J198" i="7"/>
  <c r="J199" i="7"/>
  <c r="J200" i="7"/>
  <c r="J201" i="7"/>
  <c r="J202" i="7"/>
  <c r="J203" i="7"/>
  <c r="J204" i="7"/>
  <c r="J205" i="7"/>
  <c r="J206" i="7"/>
  <c r="J207" i="7"/>
  <c r="J208" i="7"/>
  <c r="J209" i="7"/>
  <c r="J210" i="7"/>
  <c r="J211" i="7"/>
  <c r="J212" i="7"/>
  <c r="J213" i="7"/>
  <c r="J214" i="7"/>
  <c r="J215" i="7"/>
  <c r="J216" i="7"/>
  <c r="J217" i="7"/>
  <c r="J218" i="7"/>
  <c r="J219" i="7"/>
  <c r="J220" i="7"/>
  <c r="J221" i="7"/>
  <c r="J222" i="7"/>
  <c r="J223" i="7"/>
  <c r="J224" i="7"/>
  <c r="J225" i="7"/>
  <c r="J226" i="7"/>
  <c r="J227" i="7"/>
  <c r="J228" i="7"/>
  <c r="J229" i="7"/>
  <c r="J230" i="7"/>
  <c r="J231" i="7"/>
  <c r="J232" i="7"/>
  <c r="J233" i="7"/>
  <c r="J234" i="7"/>
  <c r="J235" i="7"/>
  <c r="J236" i="7"/>
  <c r="J237" i="7"/>
  <c r="J238" i="7"/>
  <c r="J239" i="7"/>
  <c r="J240" i="7"/>
  <c r="J241" i="7"/>
  <c r="J242" i="7"/>
  <c r="J243" i="7"/>
  <c r="J244" i="7"/>
  <c r="J245" i="7"/>
  <c r="J246" i="7"/>
  <c r="J247" i="7"/>
  <c r="J248" i="7"/>
  <c r="J249" i="7"/>
  <c r="J250" i="7"/>
  <c r="J251" i="7"/>
  <c r="J252" i="7"/>
  <c r="J253" i="7"/>
  <c r="J254" i="7"/>
  <c r="J255" i="7"/>
  <c r="J256" i="7"/>
  <c r="J257" i="7"/>
  <c r="J258" i="7"/>
  <c r="J259" i="7"/>
  <c r="J260" i="7"/>
  <c r="J261" i="7"/>
  <c r="J262" i="7"/>
  <c r="J263" i="7"/>
  <c r="J264" i="7"/>
  <c r="J265" i="7"/>
  <c r="J266" i="7"/>
  <c r="J267" i="7"/>
  <c r="J268" i="7"/>
  <c r="J269" i="7"/>
  <c r="J270" i="7"/>
  <c r="J271" i="7"/>
  <c r="J272" i="7"/>
  <c r="J273" i="7"/>
  <c r="J274" i="7"/>
  <c r="J275" i="7"/>
  <c r="J276" i="7"/>
  <c r="J277" i="7"/>
  <c r="J278" i="7"/>
  <c r="J279" i="7"/>
  <c r="J280" i="7"/>
  <c r="J281" i="7"/>
  <c r="J282" i="7"/>
  <c r="J283" i="7"/>
  <c r="J284" i="7"/>
  <c r="J285" i="7"/>
  <c r="J286" i="7"/>
  <c r="J287" i="7"/>
  <c r="J288" i="7"/>
  <c r="J289" i="7"/>
  <c r="J290" i="7"/>
  <c r="J291" i="7"/>
  <c r="J292" i="7"/>
  <c r="J293" i="7"/>
  <c r="J294" i="7"/>
  <c r="J295" i="7"/>
  <c r="J296" i="7"/>
  <c r="J297" i="7"/>
  <c r="J298" i="7"/>
  <c r="J299" i="7"/>
  <c r="J300" i="7"/>
  <c r="J301" i="7"/>
  <c r="J302" i="7"/>
  <c r="J303" i="7"/>
  <c r="J304" i="7"/>
  <c r="J305" i="7"/>
  <c r="J306" i="7"/>
  <c r="J307" i="7"/>
  <c r="J308" i="7"/>
  <c r="J309" i="7"/>
  <c r="J310" i="7"/>
  <c r="J311" i="7"/>
  <c r="J312" i="7"/>
  <c r="J313" i="7"/>
  <c r="J314" i="7"/>
  <c r="J315" i="7"/>
  <c r="J316" i="7"/>
  <c r="J317" i="7"/>
  <c r="J318" i="7"/>
  <c r="J319" i="7"/>
  <c r="J320" i="7"/>
  <c r="J321" i="7"/>
  <c r="J322" i="7"/>
  <c r="J323" i="7"/>
  <c r="J324" i="7"/>
  <c r="J325" i="7"/>
  <c r="J326" i="7"/>
  <c r="J327" i="7"/>
  <c r="J328" i="7"/>
  <c r="J329" i="7"/>
  <c r="J330" i="7"/>
  <c r="J331" i="7"/>
  <c r="J332" i="7"/>
  <c r="J333" i="7"/>
  <c r="J334" i="7"/>
  <c r="J335" i="7"/>
  <c r="J336" i="7"/>
  <c r="J337" i="7"/>
  <c r="J338" i="7"/>
  <c r="J339" i="7"/>
  <c r="J340" i="7"/>
  <c r="J341" i="7"/>
  <c r="J342" i="7"/>
  <c r="J343" i="7"/>
  <c r="J344" i="7"/>
  <c r="J345" i="7"/>
  <c r="J346" i="7"/>
  <c r="J347" i="7"/>
  <c r="J348" i="7"/>
  <c r="J349" i="7"/>
  <c r="J350" i="7"/>
  <c r="J351" i="7"/>
  <c r="J352" i="7"/>
  <c r="J353" i="7"/>
  <c r="J354" i="7"/>
  <c r="J355" i="7"/>
  <c r="J356" i="7"/>
  <c r="J357" i="7"/>
  <c r="J358" i="7"/>
  <c r="J359" i="7"/>
  <c r="J360" i="7"/>
  <c r="J361" i="7"/>
  <c r="J362" i="7"/>
  <c r="J363" i="7"/>
  <c r="J364" i="7"/>
  <c r="J365" i="7"/>
  <c r="J366" i="7"/>
  <c r="J367" i="7"/>
  <c r="J368" i="7"/>
  <c r="J369" i="7"/>
  <c r="J370" i="7"/>
  <c r="J371" i="7"/>
  <c r="J372" i="7"/>
  <c r="J373" i="7"/>
  <c r="J374" i="7"/>
  <c r="J375" i="7"/>
  <c r="J376" i="7"/>
  <c r="J377" i="7"/>
  <c r="J378" i="7"/>
  <c r="J379" i="7"/>
  <c r="J380" i="7"/>
  <c r="J381" i="7"/>
  <c r="J382" i="7"/>
  <c r="J383" i="7"/>
  <c r="J384" i="7"/>
  <c r="J385" i="7"/>
  <c r="J386" i="7"/>
  <c r="J387" i="7"/>
  <c r="J388" i="7"/>
  <c r="J389" i="7"/>
  <c r="J390" i="7"/>
  <c r="J391" i="7"/>
  <c r="J392" i="7"/>
  <c r="J393" i="7"/>
  <c r="J394" i="7"/>
  <c r="J395" i="7"/>
  <c r="J396" i="7"/>
  <c r="J397" i="7"/>
  <c r="J398" i="7"/>
  <c r="J399" i="7"/>
  <c r="J400" i="7"/>
  <c r="J401" i="7"/>
  <c r="J402" i="7"/>
  <c r="J403" i="7"/>
  <c r="J404" i="7"/>
  <c r="J405" i="7"/>
  <c r="J406" i="7"/>
  <c r="J407" i="7"/>
  <c r="J408" i="7"/>
  <c r="J409" i="7"/>
  <c r="J410" i="7"/>
  <c r="J411" i="7"/>
  <c r="J412" i="7"/>
  <c r="J413" i="7"/>
  <c r="J414" i="7"/>
  <c r="J415" i="7"/>
  <c r="J416" i="7"/>
  <c r="J417" i="7"/>
  <c r="J418" i="7"/>
  <c r="J419" i="7"/>
  <c r="J420" i="7"/>
  <c r="J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18" i="7"/>
  <c r="D19" i="7"/>
  <c r="D20"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71" i="7"/>
  <c r="D72" i="7"/>
  <c r="D73" i="7"/>
  <c r="D74" i="7"/>
  <c r="D75" i="7"/>
  <c r="D76" i="7"/>
  <c r="D77" i="7"/>
  <c r="D78" i="7"/>
  <c r="D79" i="7"/>
  <c r="D80" i="7"/>
  <c r="D81" i="7"/>
  <c r="D82" i="7"/>
  <c r="D83" i="7"/>
  <c r="D84" i="7"/>
  <c r="D85" i="7"/>
  <c r="D86" i="7"/>
  <c r="D87" i="7"/>
  <c r="D88" i="7"/>
  <c r="D89" i="7"/>
  <c r="D90" i="7"/>
  <c r="D91" i="7"/>
  <c r="D92" i="7"/>
  <c r="D93" i="7"/>
  <c r="D94" i="7"/>
  <c r="D95" i="7"/>
  <c r="D96" i="7"/>
  <c r="D97" i="7"/>
  <c r="D98" i="7"/>
  <c r="D99" i="7"/>
  <c r="D100" i="7"/>
  <c r="D101" i="7"/>
  <c r="D102" i="7"/>
  <c r="D103" i="7"/>
  <c r="D104" i="7"/>
  <c r="D105" i="7"/>
  <c r="D106" i="7"/>
  <c r="D107" i="7"/>
  <c r="D108" i="7"/>
  <c r="D109" i="7"/>
  <c r="D110" i="7"/>
  <c r="D111" i="7"/>
  <c r="D112" i="7"/>
  <c r="D113" i="7"/>
  <c r="D114" i="7"/>
  <c r="D115" i="7"/>
  <c r="D116" i="7"/>
  <c r="D117" i="7"/>
  <c r="D118" i="7"/>
  <c r="D119" i="7"/>
  <c r="D120" i="7"/>
  <c r="D121" i="7"/>
  <c r="D122" i="7"/>
  <c r="D123" i="7"/>
  <c r="D124" i="7"/>
  <c r="D125" i="7"/>
  <c r="D126" i="7"/>
  <c r="D127" i="7"/>
  <c r="D128" i="7"/>
  <c r="D129" i="7"/>
  <c r="D130" i="7"/>
  <c r="D131" i="7"/>
  <c r="D132" i="7"/>
  <c r="D133" i="7"/>
  <c r="D134" i="7"/>
  <c r="D135" i="7"/>
  <c r="D136" i="7"/>
  <c r="D137" i="7"/>
  <c r="D138" i="7"/>
  <c r="D139" i="7"/>
  <c r="D140" i="7"/>
  <c r="D141" i="7"/>
  <c r="D142" i="7"/>
  <c r="D143" i="7"/>
  <c r="D144" i="7"/>
  <c r="D145" i="7"/>
  <c r="D146" i="7"/>
  <c r="D147" i="7"/>
  <c r="D148" i="7"/>
  <c r="D149" i="7"/>
  <c r="D150" i="7"/>
  <c r="D151" i="7"/>
  <c r="D152" i="7"/>
  <c r="D153" i="7"/>
  <c r="D154" i="7"/>
  <c r="D155" i="7"/>
  <c r="D156" i="7"/>
  <c r="D157" i="7"/>
  <c r="D158" i="7"/>
  <c r="D159" i="7"/>
  <c r="D160" i="7"/>
  <c r="D161" i="7"/>
  <c r="D162" i="7"/>
  <c r="D163" i="7"/>
  <c r="D164" i="7"/>
  <c r="D165" i="7"/>
  <c r="D166" i="7"/>
  <c r="D167" i="7"/>
  <c r="D168" i="7"/>
  <c r="D169" i="7"/>
  <c r="D170" i="7"/>
  <c r="D171" i="7"/>
  <c r="D172" i="7"/>
  <c r="D173" i="7"/>
  <c r="D174" i="7"/>
  <c r="D175" i="7"/>
  <c r="D176" i="7"/>
  <c r="D177" i="7"/>
  <c r="D178" i="7"/>
  <c r="D179" i="7"/>
  <c r="D180" i="7"/>
  <c r="D181" i="7"/>
  <c r="D182" i="7"/>
  <c r="D183" i="7"/>
  <c r="D184" i="7"/>
  <c r="D185" i="7"/>
  <c r="D186" i="7"/>
  <c r="D187" i="7"/>
  <c r="D188" i="7"/>
  <c r="D189" i="7"/>
  <c r="D190" i="7"/>
  <c r="D191" i="7"/>
  <c r="D192" i="7"/>
  <c r="D193" i="7"/>
  <c r="D194" i="7"/>
  <c r="D195" i="7"/>
  <c r="D196" i="7"/>
  <c r="D197" i="7"/>
  <c r="D198" i="7"/>
  <c r="D199" i="7"/>
  <c r="D200" i="7"/>
  <c r="D201" i="7"/>
  <c r="D202" i="7"/>
  <c r="D203" i="7"/>
  <c r="D204" i="7"/>
  <c r="D205" i="7"/>
  <c r="D206" i="7"/>
  <c r="D207" i="7"/>
  <c r="D208" i="7"/>
  <c r="D209" i="7"/>
  <c r="D210" i="7"/>
  <c r="D211" i="7"/>
  <c r="D212" i="7"/>
  <c r="D213" i="7"/>
  <c r="D214" i="7"/>
  <c r="D215" i="7"/>
  <c r="D216" i="7"/>
  <c r="D217" i="7"/>
  <c r="D218" i="7"/>
  <c r="D219" i="7"/>
  <c r="D220" i="7"/>
  <c r="D221" i="7"/>
  <c r="D222" i="7"/>
  <c r="D223" i="7"/>
  <c r="D224" i="7"/>
  <c r="D225" i="7"/>
  <c r="D226" i="7"/>
  <c r="D227" i="7"/>
  <c r="D228" i="7"/>
  <c r="D229" i="7"/>
  <c r="D230" i="7"/>
  <c r="D231" i="7"/>
  <c r="D232" i="7"/>
  <c r="D233" i="7"/>
  <c r="D234" i="7"/>
  <c r="D235" i="7"/>
  <c r="D236" i="7"/>
  <c r="D237" i="7"/>
  <c r="D238" i="7"/>
  <c r="D239" i="7"/>
  <c r="D240" i="7"/>
  <c r="D241" i="7"/>
  <c r="D242" i="7"/>
  <c r="D243" i="7"/>
  <c r="D244" i="7"/>
  <c r="D245" i="7"/>
  <c r="D246" i="7"/>
  <c r="D247" i="7"/>
  <c r="D248" i="7"/>
  <c r="D249" i="7"/>
  <c r="D250" i="7"/>
  <c r="D251" i="7"/>
  <c r="D252" i="7"/>
  <c r="D253" i="7"/>
  <c r="D254" i="7"/>
  <c r="D255" i="7"/>
  <c r="D256" i="7"/>
  <c r="D257" i="7"/>
  <c r="D258" i="7"/>
  <c r="D259" i="7"/>
  <c r="D260" i="7"/>
  <c r="D261" i="7"/>
  <c r="D262" i="7"/>
  <c r="D263" i="7"/>
  <c r="D264" i="7"/>
  <c r="D265" i="7"/>
  <c r="D266" i="7"/>
  <c r="D267" i="7"/>
  <c r="D268" i="7"/>
  <c r="D269" i="7"/>
  <c r="D270" i="7"/>
  <c r="D271" i="7"/>
  <c r="D272" i="7"/>
  <c r="D273" i="7"/>
  <c r="D274" i="7"/>
  <c r="D275" i="7"/>
  <c r="D276" i="7"/>
  <c r="D277" i="7"/>
  <c r="D278" i="7"/>
  <c r="D279" i="7"/>
  <c r="D280" i="7"/>
  <c r="D281" i="7"/>
  <c r="D282" i="7"/>
  <c r="D283" i="7"/>
  <c r="D284" i="7"/>
  <c r="D285" i="7"/>
  <c r="D286" i="7"/>
  <c r="D287" i="7"/>
  <c r="D288" i="7"/>
  <c r="D289" i="7"/>
  <c r="D290" i="7"/>
  <c r="D291" i="7"/>
  <c r="D292" i="7"/>
  <c r="D293" i="7"/>
  <c r="D294" i="7"/>
  <c r="D295" i="7"/>
  <c r="D296" i="7"/>
  <c r="D297" i="7"/>
  <c r="D298" i="7"/>
  <c r="D299" i="7"/>
  <c r="D300" i="7"/>
  <c r="D301" i="7"/>
  <c r="D302" i="7"/>
  <c r="D303" i="7"/>
  <c r="D304" i="7"/>
  <c r="D305" i="7"/>
  <c r="D306" i="7"/>
  <c r="D307" i="7"/>
  <c r="D308" i="7"/>
  <c r="D309" i="7"/>
  <c r="D310" i="7"/>
  <c r="D311" i="7"/>
  <c r="D312" i="7"/>
  <c r="D313" i="7"/>
  <c r="D314" i="7"/>
  <c r="D315" i="7"/>
  <c r="D316" i="7"/>
  <c r="D317" i="7"/>
  <c r="D318" i="7"/>
  <c r="D319" i="7"/>
  <c r="D320" i="7"/>
  <c r="D321" i="7"/>
  <c r="D322" i="7"/>
  <c r="D323" i="7"/>
  <c r="D324" i="7"/>
  <c r="D325" i="7"/>
  <c r="D326" i="7"/>
  <c r="D327" i="7"/>
  <c r="D328" i="7"/>
  <c r="D329" i="7"/>
  <c r="D330" i="7"/>
  <c r="D331" i="7"/>
  <c r="D332" i="7"/>
  <c r="D333" i="7"/>
  <c r="D334" i="7"/>
  <c r="D335" i="7"/>
  <c r="D336" i="7"/>
  <c r="D337" i="7"/>
  <c r="D338" i="7"/>
  <c r="D339" i="7"/>
  <c r="D340" i="7"/>
  <c r="D341" i="7"/>
  <c r="D342" i="7"/>
  <c r="D343" i="7"/>
  <c r="D344" i="7"/>
  <c r="D345" i="7"/>
  <c r="D346" i="7"/>
  <c r="D347" i="7"/>
  <c r="D348" i="7"/>
  <c r="D349" i="7"/>
  <c r="D350" i="7"/>
  <c r="D351" i="7"/>
  <c r="D352" i="7"/>
  <c r="D353" i="7"/>
  <c r="D354" i="7"/>
  <c r="D355" i="7"/>
  <c r="D356" i="7"/>
  <c r="D357" i="7"/>
  <c r="D358" i="7"/>
  <c r="D359" i="7"/>
  <c r="D360" i="7"/>
  <c r="D361" i="7"/>
  <c r="D362" i="7"/>
  <c r="D363" i="7"/>
  <c r="D364" i="7"/>
  <c r="D365" i="7"/>
  <c r="D366" i="7"/>
  <c r="D367" i="7"/>
  <c r="D368" i="7"/>
  <c r="D369" i="7"/>
  <c r="D370" i="7"/>
  <c r="D371" i="7"/>
  <c r="D372" i="7"/>
  <c r="D373" i="7"/>
  <c r="D374" i="7"/>
  <c r="D375" i="7"/>
  <c r="D376" i="7"/>
  <c r="D377" i="7"/>
  <c r="D378" i="7"/>
  <c r="D379" i="7"/>
  <c r="D380" i="7"/>
  <c r="D381" i="7"/>
  <c r="D382" i="7"/>
  <c r="D383" i="7"/>
  <c r="D384" i="7"/>
  <c r="D385" i="7"/>
  <c r="D386" i="7"/>
  <c r="D387" i="7"/>
  <c r="D388" i="7"/>
  <c r="D389" i="7"/>
  <c r="D390" i="7"/>
  <c r="D391" i="7"/>
  <c r="D392" i="7"/>
  <c r="D393" i="7"/>
  <c r="D394" i="7"/>
  <c r="D395" i="7"/>
  <c r="D396" i="7"/>
  <c r="D397" i="7"/>
  <c r="D398" i="7"/>
  <c r="D399" i="7"/>
  <c r="D400" i="7"/>
  <c r="D401" i="7"/>
  <c r="D402" i="7"/>
  <c r="D403" i="7"/>
  <c r="D404" i="7"/>
  <c r="D405" i="7"/>
  <c r="D406" i="7"/>
  <c r="D407" i="7"/>
  <c r="D408" i="7"/>
  <c r="D409" i="7"/>
  <c r="D410" i="7"/>
  <c r="D411" i="7"/>
  <c r="D412" i="7"/>
  <c r="D413" i="7"/>
  <c r="D414" i="7"/>
  <c r="D415" i="7"/>
  <c r="D416" i="7"/>
  <c r="D417" i="7"/>
  <c r="D418" i="7"/>
  <c r="D419" i="7"/>
  <c r="D420" i="7"/>
  <c r="D18" i="7"/>
  <c r="AF19" i="7" l="1"/>
  <c r="Y27" i="7"/>
  <c r="AL27" i="7"/>
  <c r="AO26" i="7"/>
  <c r="AE27" i="7"/>
  <c r="AF20" i="7"/>
  <c r="AN28" i="7"/>
  <c r="AH26" i="7"/>
  <c r="AM19" i="7"/>
  <c r="AN27" i="7"/>
  <c r="AO28" i="7"/>
  <c r="Z17" i="7"/>
  <c r="AA17" i="7" s="1"/>
  <c r="AG18" i="7"/>
  <c r="AH18" i="7" s="1"/>
  <c r="AA28" i="7"/>
  <c r="AG19" i="7"/>
  <c r="AH19" i="7" s="1"/>
  <c r="AF27" i="7"/>
  <c r="AH27" i="7"/>
  <c r="AM20" i="7"/>
  <c r="AL28" i="7"/>
  <c r="AG27" i="7"/>
  <c r="Z28" i="7"/>
  <c r="AF26" i="7"/>
  <c r="AG20" i="7"/>
  <c r="AH20" i="7" s="1"/>
  <c r="AF28" i="7"/>
  <c r="AH28" i="7"/>
  <c r="AN17" i="7"/>
  <c r="AO17" i="7" s="1"/>
  <c r="AM25" i="7"/>
  <c r="AO25" i="7"/>
  <c r="AN20" i="7"/>
  <c r="AO20" i="7" s="1"/>
  <c r="AF17" i="7"/>
  <c r="AG25" i="7"/>
  <c r="AN18" i="7"/>
  <c r="AO18" i="7" s="1"/>
  <c r="AM26" i="7"/>
  <c r="Y28" i="7"/>
  <c r="AE25" i="7"/>
  <c r="AF18" i="7"/>
  <c r="AE26" i="7"/>
  <c r="AG26" i="7"/>
  <c r="AN19" i="7"/>
  <c r="AO19" i="7" s="1"/>
  <c r="AM27" i="7"/>
  <c r="AO27" i="7"/>
  <c r="AE28" i="7"/>
  <c r="AG28" i="7"/>
  <c r="AM17" i="7"/>
  <c r="AL25" i="7"/>
  <c r="AN25" i="7"/>
  <c r="AM28" i="7"/>
  <c r="Z19" i="7"/>
  <c r="AA19" i="7" s="1"/>
  <c r="AG17" i="7"/>
  <c r="AH17" i="7" s="1"/>
  <c r="AF25" i="7"/>
  <c r="AH25" i="7"/>
  <c r="AM18" i="7"/>
  <c r="AL26" i="7"/>
  <c r="AN26" i="7"/>
  <c r="Y17" i="7"/>
  <c r="X25" i="7"/>
  <c r="Z25" i="7"/>
  <c r="Y18" i="7"/>
  <c r="X26" i="7"/>
  <c r="Z26" i="7"/>
  <c r="Y19" i="7"/>
  <c r="X27" i="7"/>
  <c r="Z27" i="7"/>
  <c r="Y20" i="7"/>
  <c r="X28" i="7"/>
  <c r="AA25" i="7"/>
  <c r="Z18" i="7"/>
  <c r="AA18" i="7" s="1"/>
  <c r="Y25" i="7"/>
  <c r="Y26" i="7"/>
  <c r="AA26" i="7"/>
  <c r="AA27" i="7"/>
  <c r="Z20" i="7"/>
  <c r="AA20" i="7" s="1"/>
  <c r="R19" i="7"/>
  <c r="AL31" i="7"/>
  <c r="X31" i="7"/>
  <c r="AE32" i="7"/>
  <c r="X32" i="7"/>
  <c r="AE31" i="7"/>
  <c r="AL32" i="7"/>
  <c r="AL33" i="7" l="1"/>
  <c r="AE33" i="7"/>
  <c r="X33" i="7"/>
  <c r="T25" i="7"/>
  <c r="Q28" i="7"/>
  <c r="Q27" i="7"/>
  <c r="S25" i="7"/>
  <c r="R25" i="7"/>
  <c r="Q26" i="7"/>
  <c r="Q25" i="7"/>
  <c r="S20" i="7"/>
  <c r="T20" i="7" s="1"/>
  <c r="T28" i="7"/>
  <c r="R27" i="7"/>
  <c r="S26" i="7"/>
  <c r="R26" i="7"/>
  <c r="S18" i="7"/>
  <c r="T18" i="7" s="1"/>
  <c r="R28" i="7"/>
  <c r="T26" i="7"/>
  <c r="R17" i="7"/>
  <c r="R18" i="7"/>
  <c r="S19" i="7"/>
  <c r="T19" i="7" s="1"/>
  <c r="S27" i="7"/>
  <c r="S28" i="7"/>
  <c r="T27" i="7"/>
  <c r="R20" i="7"/>
  <c r="S17" i="7"/>
  <c r="T17" i="7" s="1"/>
  <c r="M3" i="3"/>
  <c r="L3" i="3"/>
  <c r="K3" i="3"/>
  <c r="J3" i="3"/>
  <c r="Q31" i="7"/>
  <c r="F20" i="5" l="1"/>
  <c r="E20" i="5"/>
  <c r="D20" i="5"/>
  <c r="C20" i="5"/>
  <c r="B20" i="5"/>
  <c r="F19" i="5"/>
  <c r="E19" i="5"/>
  <c r="D19" i="5"/>
  <c r="C19" i="5"/>
  <c r="B19" i="5"/>
  <c r="F18" i="5"/>
  <c r="E18" i="5"/>
  <c r="D18" i="5"/>
  <c r="C18" i="5"/>
  <c r="B18" i="5"/>
  <c r="F17" i="5"/>
  <c r="E17" i="5"/>
  <c r="D17" i="5"/>
  <c r="C17" i="5"/>
  <c r="B17" i="5"/>
  <c r="F16" i="5"/>
  <c r="E16" i="5"/>
  <c r="D16" i="5"/>
  <c r="C16" i="5"/>
  <c r="B16" i="5"/>
  <c r="F18" i="4"/>
  <c r="E18" i="4"/>
  <c r="D18" i="4"/>
  <c r="C18" i="4"/>
  <c r="B18" i="4"/>
  <c r="F17" i="4"/>
  <c r="E17" i="4"/>
  <c r="D17" i="4"/>
  <c r="C17" i="4"/>
  <c r="B17" i="4"/>
  <c r="F16" i="4"/>
  <c r="E16" i="4"/>
  <c r="D16" i="4"/>
  <c r="C16" i="4"/>
  <c r="B16" i="4"/>
  <c r="F15" i="4"/>
  <c r="E15" i="4"/>
  <c r="D15" i="4"/>
  <c r="C15" i="4"/>
  <c r="B15" i="4"/>
  <c r="F14" i="4"/>
  <c r="E14" i="4"/>
  <c r="D14" i="4"/>
  <c r="C14" i="4"/>
  <c r="B14" i="4"/>
  <c r="O7" i="2"/>
  <c r="N6" i="2"/>
  <c r="M5" i="2"/>
  <c r="L4" i="2"/>
  <c r="K3" i="2"/>
  <c r="M12" i="4"/>
  <c r="J32" i="4"/>
  <c r="K38" i="4"/>
  <c r="K39" i="4"/>
  <c r="K34" i="4"/>
  <c r="J49" i="4"/>
  <c r="J46" i="4"/>
  <c r="J29" i="4"/>
  <c r="J37" i="4"/>
  <c r="K55" i="4"/>
  <c r="J28" i="4"/>
  <c r="J38" i="4"/>
  <c r="K28" i="4"/>
  <c r="K37" i="4"/>
  <c r="K45" i="4"/>
  <c r="K42" i="4"/>
  <c r="K32" i="4"/>
  <c r="J36" i="4"/>
  <c r="K31" i="4"/>
  <c r="J48" i="4"/>
  <c r="K53" i="4"/>
  <c r="K27" i="4"/>
  <c r="J30" i="4"/>
  <c r="J27" i="4"/>
  <c r="J17" i="4"/>
  <c r="J42" i="4"/>
  <c r="J56" i="4"/>
  <c r="K47" i="4"/>
  <c r="J50" i="4"/>
  <c r="K41" i="4"/>
  <c r="K50" i="4"/>
  <c r="K43" i="4"/>
  <c r="J51" i="4"/>
  <c r="K46" i="4"/>
  <c r="K36" i="4"/>
  <c r="J34" i="4"/>
  <c r="J18" i="4"/>
  <c r="J55" i="4"/>
  <c r="J35" i="4"/>
  <c r="J45" i="4"/>
  <c r="K35" i="4"/>
  <c r="J47" i="4"/>
  <c r="K29" i="4"/>
  <c r="K30" i="4"/>
  <c r="K33" i="4"/>
  <c r="K48" i="4"/>
  <c r="K54" i="4"/>
  <c r="J33" i="4"/>
  <c r="K52" i="4"/>
  <c r="K51" i="4"/>
  <c r="J54" i="4"/>
  <c r="K49" i="4"/>
  <c r="K56" i="4"/>
  <c r="J44" i="4"/>
  <c r="J52" i="4"/>
  <c r="K40" i="4"/>
  <c r="J39" i="4"/>
  <c r="K44" i="4"/>
  <c r="J31" i="4"/>
  <c r="J40" i="4"/>
  <c r="J53" i="4"/>
  <c r="J41" i="4"/>
  <c r="J43" i="4"/>
  <c r="O6" i="2" l="1"/>
  <c r="N7" i="2"/>
  <c r="O5" i="2"/>
  <c r="M7" i="2"/>
  <c r="O4" i="2"/>
  <c r="L7" i="2"/>
  <c r="N5" i="2"/>
  <c r="M6" i="2"/>
  <c r="N4" i="2"/>
  <c r="L6" i="2"/>
  <c r="M4" i="2"/>
  <c r="L5" i="2"/>
  <c r="O3" i="2"/>
  <c r="N3" i="2"/>
  <c r="K6" i="2"/>
  <c r="K7" i="2"/>
  <c r="M3" i="2"/>
  <c r="K5" i="2"/>
  <c r="L3" i="2"/>
  <c r="K4" i="2"/>
  <c r="D5" i="2"/>
  <c r="F5" i="2"/>
  <c r="E5" i="2"/>
  <c r="C5" i="2"/>
  <c r="B5" i="2"/>
  <c r="F4" i="2"/>
  <c r="E4" i="2"/>
  <c r="D4" i="2"/>
  <c r="C4" i="2"/>
  <c r="B4" i="2"/>
  <c r="F3" i="2"/>
  <c r="E3" i="2"/>
  <c r="D3" i="2"/>
  <c r="C3" i="2"/>
  <c r="B3" i="2"/>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H3" i="1"/>
  <c r="K3" i="1"/>
  <c r="N3" i="1"/>
  <c r="Q3" i="1"/>
  <c r="E3" i="1"/>
  <c r="A4" i="1"/>
  <c r="J51" i="5"/>
  <c r="K39" i="5"/>
  <c r="K51" i="5"/>
  <c r="J42" i="5"/>
  <c r="K44" i="5"/>
  <c r="K41" i="5"/>
  <c r="J49" i="5"/>
  <c r="K40" i="5"/>
  <c r="J35" i="5"/>
  <c r="J28" i="5"/>
  <c r="K37" i="5"/>
  <c r="K55" i="5"/>
  <c r="J30" i="5"/>
  <c r="J52" i="5"/>
  <c r="K34" i="5"/>
  <c r="J45" i="5"/>
  <c r="K38" i="5"/>
  <c r="K46" i="5"/>
  <c r="K32" i="5"/>
  <c r="J56" i="5"/>
  <c r="J44" i="5"/>
  <c r="K29" i="5"/>
  <c r="J37" i="5"/>
  <c r="J39" i="5"/>
  <c r="J41" i="5"/>
  <c r="K43" i="5"/>
  <c r="J54" i="5"/>
  <c r="K52" i="5"/>
  <c r="J33" i="5"/>
  <c r="K49" i="5"/>
  <c r="K45" i="5"/>
  <c r="J29" i="5"/>
  <c r="K33" i="5"/>
  <c r="J55" i="5"/>
  <c r="J48" i="5"/>
  <c r="K28" i="5"/>
  <c r="J46" i="5"/>
  <c r="J31" i="5"/>
  <c r="J34" i="5"/>
  <c r="K56" i="5"/>
  <c r="K42" i="5"/>
  <c r="K53" i="5"/>
  <c r="J40" i="5"/>
  <c r="J53" i="5"/>
  <c r="J43" i="5"/>
  <c r="J38" i="5"/>
  <c r="K54" i="5"/>
  <c r="K27" i="5"/>
  <c r="K47" i="5"/>
  <c r="J50" i="5"/>
  <c r="K35" i="5"/>
  <c r="J27" i="5"/>
  <c r="K36" i="5"/>
  <c r="K48" i="5"/>
  <c r="J47" i="5"/>
  <c r="K30" i="5"/>
  <c r="J36" i="5"/>
  <c r="K31" i="5"/>
  <c r="K50" i="5"/>
  <c r="J32" i="5"/>
  <c r="A5" i="1" l="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Q32" i="7"/>
  <c r="Q33" i="7" l="1"/>
</calcChain>
</file>

<file path=xl/sharedStrings.xml><?xml version="1.0" encoding="utf-8"?>
<sst xmlns="http://schemas.openxmlformats.org/spreadsheetml/2006/main" count="404" uniqueCount="117">
  <si>
    <t>Date</t>
  </si>
  <si>
    <t>CAT</t>
  </si>
  <si>
    <t>CSCO</t>
  </si>
  <si>
    <t>ANIK</t>
  </si>
  <si>
    <t>LQD</t>
  </si>
  <si>
    <t>TLT</t>
  </si>
  <si>
    <t>Week</t>
  </si>
  <si>
    <t xml:space="preserve">Expected Return </t>
  </si>
  <si>
    <t>Standard Deviation</t>
  </si>
  <si>
    <t xml:space="preserve">Variance </t>
  </si>
  <si>
    <t>Covariance Matrix</t>
  </si>
  <si>
    <t>Max Risk</t>
  </si>
  <si>
    <t>Min Risk</t>
  </si>
  <si>
    <t>Securities with max/min Expected Values and max/min risk</t>
  </si>
  <si>
    <t>Asset Data</t>
  </si>
  <si>
    <t>CAT (Weekly Returns)</t>
  </si>
  <si>
    <t>CSCO (Weekly Returns)</t>
  </si>
  <si>
    <t>ANIK (Weekly Returns)</t>
  </si>
  <si>
    <t>LQD (Weekly Returns)</t>
  </si>
  <si>
    <t>TLT (Weekly Returns)</t>
  </si>
  <si>
    <t>Exp Ret</t>
  </si>
  <si>
    <t>Std Dev</t>
  </si>
  <si>
    <t>Constraints on Frontier Portfolio Weights</t>
  </si>
  <si>
    <t>portmax2</t>
  </si>
  <si>
    <t>portmin2</t>
  </si>
  <si>
    <t>portwts2</t>
  </si>
  <si>
    <t>portret2</t>
  </si>
  <si>
    <t>portsd2</t>
  </si>
  <si>
    <t xml:space="preserve">niter2 </t>
  </si>
  <si>
    <t>priter2</t>
  </si>
  <si>
    <t>Constrained Frontier Portfolios</t>
  </si>
  <si>
    <t>effwts2</t>
  </si>
  <si>
    <t>(Ctrl + Shift + E to run Macro)</t>
  </si>
  <si>
    <t>Frontier Portfolio weights</t>
  </si>
  <si>
    <t>portret1</t>
  </si>
  <si>
    <t>portsd1</t>
  </si>
  <si>
    <t>niter1</t>
  </si>
  <si>
    <t>priter1</t>
  </si>
  <si>
    <t>effwts1</t>
  </si>
  <si>
    <t>portwts1</t>
  </si>
  <si>
    <t>portmin1</t>
  </si>
  <si>
    <t>portmax1</t>
  </si>
  <si>
    <t>(Ctrl + Shift + U to run Macro)</t>
  </si>
  <si>
    <t xml:space="preserve">Max Exp Ret </t>
  </si>
  <si>
    <t xml:space="preserve">Min Exp Ret </t>
  </si>
  <si>
    <t xml:space="preserve">All four indices are total return indices which reinvest dividends or coupons. </t>
  </si>
  <si>
    <t>Start Date</t>
  </si>
  <si>
    <t>End Date</t>
  </si>
  <si>
    <t>S&amp;P 500 INDEX (LARGE CAP)</t>
  </si>
  <si>
    <t>Russell 2000 Index (small cap)</t>
  </si>
  <si>
    <t>U.S. Corporate Investment Grade</t>
  </si>
  <si>
    <t>U.S. Treasury</t>
  </si>
  <si>
    <t>SPXT Index</t>
  </si>
  <si>
    <t>RU20INTR Index</t>
  </si>
  <si>
    <t>LBUSTRUU Index</t>
  </si>
  <si>
    <t>LUATTRUU Index</t>
  </si>
  <si>
    <t>Last Price</t>
  </si>
  <si>
    <t>Dates</t>
  </si>
  <si>
    <t>PX_LAST</t>
  </si>
  <si>
    <t xml:space="preserve">Monthly Returns </t>
  </si>
  <si>
    <t>Monthly Returns</t>
  </si>
  <si>
    <t>S&amp;P 500</t>
  </si>
  <si>
    <t>Russell 2000</t>
  </si>
  <si>
    <t>U.S. Corp. Investment Grade</t>
  </si>
  <si>
    <t>Variance</t>
  </si>
  <si>
    <t>Std. Dev.</t>
  </si>
  <si>
    <t>Portfolio Weights</t>
  </si>
  <si>
    <t>U.S. Corp.</t>
  </si>
  <si>
    <t>U.S. Treas.</t>
  </si>
  <si>
    <t xml:space="preserve">U.S. Corp. </t>
  </si>
  <si>
    <t>Port. Return</t>
  </si>
  <si>
    <t>Port. Variance</t>
  </si>
  <si>
    <t>Port. Risk</t>
  </si>
  <si>
    <t>Portfolio Weights for Max Return</t>
  </si>
  <si>
    <t>Portfolio Weights for Minimum Variance</t>
  </si>
  <si>
    <t>Max Return</t>
  </si>
  <si>
    <t>Min. Variance</t>
  </si>
  <si>
    <t>Min. Risk</t>
  </si>
  <si>
    <t>portwts3</t>
  </si>
  <si>
    <t>minwts</t>
  </si>
  <si>
    <t>maxwts</t>
  </si>
  <si>
    <t xml:space="preserve">Portfolio using most recent 5 years </t>
  </si>
  <si>
    <t>Exp. Ret.</t>
  </si>
  <si>
    <t>Unconstrained Efficient Frontier</t>
  </si>
  <si>
    <t>Constrained Efficient Frontier</t>
  </si>
  <si>
    <t xml:space="preserve">Portfolio using most recent 10 years </t>
  </si>
  <si>
    <t xml:space="preserve">Portfolio using most recent 20 years </t>
  </si>
  <si>
    <t xml:space="preserve">Portfolio using most recent 30 years </t>
  </si>
  <si>
    <t>Summary</t>
  </si>
  <si>
    <t>Data Used</t>
  </si>
  <si>
    <t>5 Years</t>
  </si>
  <si>
    <t>10 Years</t>
  </si>
  <si>
    <t>20 Years</t>
  </si>
  <si>
    <t>30 Years</t>
  </si>
  <si>
    <t>2 Years</t>
  </si>
  <si>
    <t>Summary: Comparison of long term data with the 2-year data</t>
  </si>
  <si>
    <t>Contributing members:</t>
  </si>
  <si>
    <t>Siddhanta Phuyal</t>
  </si>
  <si>
    <t>Robin Bista</t>
  </si>
  <si>
    <t>Damir Pupović</t>
  </si>
  <si>
    <t>This sheet serves as an overview of this  workbook, providing a brief synopsis of each of the sheets within it.  </t>
  </si>
  <si>
    <t>Adj. Price &amp; Expected Return</t>
  </si>
  <si>
    <t>This sheet contains weekly prices for each one of our securities for the years of 2019 and 2020, as well as calculated weekly returns displayed in orange cells. It represents most of the data used to in our analysis</t>
  </si>
  <si>
    <t>Expected Return &amp; Cov. Matrix</t>
  </si>
  <si>
    <t>Max-min Return and Risk</t>
  </si>
  <si>
    <t>Identifies the securities with lowest and highest expected returns and risks.</t>
  </si>
  <si>
    <t>Unconst. Efficient Frontier</t>
  </si>
  <si>
    <t>Const. Efficient Frontier</t>
  </si>
  <si>
    <t>Min Var and Max Ret. Portfolio</t>
  </si>
  <si>
    <t>Contains the graph of both efficient frontiers calculated earlier, side by side for comparison and analysis </t>
  </si>
  <si>
    <t>Long Term Return Series</t>
  </si>
  <si>
    <t>Long and Short Term Comparison</t>
  </si>
  <si>
    <t>Displays expected return, risk and variance as well as the covariance matrix calculated from the data in the previous sheet.</t>
  </si>
  <si>
    <t>Contains the portfolio allocations of both short term and long term data, side by side for comparison and analysis </t>
  </si>
  <si>
    <r>
      <t xml:space="preserve">Using macros, forms an efficient frontier for a portfolio </t>
    </r>
    <r>
      <rPr>
        <b/>
        <sz val="11"/>
        <color rgb="FF000000"/>
        <rFont val="Calibri"/>
        <family val="2"/>
        <scheme val="minor"/>
      </rPr>
      <t>with no constraints</t>
    </r>
    <r>
      <rPr>
        <sz val="11"/>
        <color rgb="FF000000"/>
        <rFont val="Calibri"/>
        <family val="2"/>
        <scheme val="minor"/>
      </rPr>
      <t xml:space="preserve"> on its weights using the data from previous sheets. </t>
    </r>
  </si>
  <si>
    <r>
      <t xml:space="preserve">Using macros, forms an efficient frontier for a portflio </t>
    </r>
    <r>
      <rPr>
        <b/>
        <sz val="11"/>
        <color rgb="FF000000"/>
        <rFont val="Calibri"/>
        <family val="2"/>
        <scheme val="minor"/>
      </rPr>
      <t>with constraints</t>
    </r>
    <r>
      <rPr>
        <sz val="11"/>
        <color rgb="FF000000"/>
        <rFont val="Calibri"/>
        <family val="2"/>
        <scheme val="minor"/>
      </rPr>
      <t xml:space="preserve">  in its weights using the data from previous sheets</t>
    </r>
  </si>
  <si>
    <t>Using macros, calculates long term monthly expected returns and risks of 4 indices to construct optimal portfolios for maximum return and minimum variance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</si>
</sst>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yyyy\-mm\-dd;@"/>
    <numFmt numFmtId="165" formatCode="0.0%"/>
    <numFmt numFmtId="166" formatCode="0.0000000%"/>
    <numFmt numFmtId="167" formatCode="0.00000000000%"/>
    <numFmt numFmtId="168" formatCode="_(* #,##0.0_);_(* \(#,##0.0\);_(* &quot;-&quot;??_);_(@_)"/>
    <numFmt numFmtId="169" formatCode="0.000%"/>
  </numFmts>
  <fonts count="5" x14ac:knownFonts="1">
    <font>
      <sz val="11"/>
      <color theme="1"/>
      <name val="Calibri"/>
      <family val="2"/>
      <scheme val="minor"/>
    </font>
    <font>
      <b/>
      <sz val="11"/>
      <color theme="1"/>
      <name val="Calibri"/>
      <family val="2"/>
      <scheme val="minor"/>
    </font>
    <font>
      <sz val="11"/>
      <color theme="1"/>
      <name val="Calibri"/>
      <family val="2"/>
      <scheme val="minor"/>
    </font>
    <font>
      <sz val="11"/>
      <color rgb="FF000000"/>
      <name val="Calibri"/>
      <family val="2"/>
      <scheme val="minor"/>
    </font>
    <font>
      <b/>
      <sz val="11"/>
      <color rgb="FF000000"/>
      <name val="Calibri"/>
      <family val="2"/>
      <scheme val="minor"/>
    </font>
  </fonts>
  <fills count="10">
    <fill>
      <patternFill patternType="none"/>
    </fill>
    <fill>
      <patternFill patternType="gray125"/>
    </fill>
    <fill>
      <patternFill patternType="solid">
        <fgColor theme="4"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0" tint="-0.249977111117893"/>
        <bgColor indexed="64"/>
      </patternFill>
    </fill>
    <fill>
      <patternFill patternType="solid">
        <fgColor rgb="FFF4B084"/>
        <bgColor rgb="FF000000"/>
      </patternFill>
    </fill>
    <fill>
      <patternFill patternType="solid">
        <fgColor rgb="FFFCE4D6"/>
        <bgColor rgb="FF000000"/>
      </patternFill>
    </fill>
    <fill>
      <patternFill patternType="solid">
        <fgColor rgb="FFDDEBF7"/>
        <bgColor rgb="FF000000"/>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66">
    <xf numFmtId="0" fontId="0" fillId="0" borderId="0" xfId="0"/>
    <xf numFmtId="164" fontId="0" fillId="0" borderId="0" xfId="0" applyNumberFormat="1"/>
    <xf numFmtId="14" fontId="0" fillId="0" borderId="0" xfId="0" applyNumberFormat="1"/>
    <xf numFmtId="0" fontId="1" fillId="0" borderId="0" xfId="0" applyFont="1"/>
    <xf numFmtId="0" fontId="1" fillId="0" borderId="0" xfId="0" applyFont="1" applyAlignment="1"/>
    <xf numFmtId="0" fontId="0" fillId="0" borderId="0" xfId="0" applyAlignment="1"/>
    <xf numFmtId="9" fontId="0" fillId="0" borderId="0" xfId="1" applyFont="1"/>
    <xf numFmtId="10" fontId="0" fillId="0" borderId="0" xfId="1" applyNumberFormat="1" applyFont="1"/>
    <xf numFmtId="166" fontId="0" fillId="0" borderId="0" xfId="1" applyNumberFormat="1" applyFont="1"/>
    <xf numFmtId="10" fontId="1" fillId="0" borderId="0" xfId="0" applyNumberFormat="1" applyFont="1"/>
    <xf numFmtId="165" fontId="1" fillId="0" borderId="0" xfId="0" applyNumberFormat="1" applyFont="1"/>
    <xf numFmtId="167" fontId="0" fillId="0" borderId="0" xfId="2" applyNumberFormat="1" applyFont="1"/>
    <xf numFmtId="10" fontId="0" fillId="2" borderId="0" xfId="1" applyNumberFormat="1" applyFont="1" applyFill="1"/>
    <xf numFmtId="10" fontId="1" fillId="0" borderId="0" xfId="1" applyNumberFormat="1" applyFont="1"/>
    <xf numFmtId="0" fontId="0" fillId="3" borderId="0" xfId="0" applyFill="1"/>
    <xf numFmtId="10" fontId="0" fillId="3" borderId="0" xfId="1" applyNumberFormat="1" applyFont="1" applyFill="1"/>
    <xf numFmtId="9" fontId="0" fillId="3" borderId="0" xfId="1" applyFont="1" applyFill="1"/>
    <xf numFmtId="9" fontId="1" fillId="3" borderId="0" xfId="1" applyFont="1" applyFill="1"/>
    <xf numFmtId="10" fontId="1" fillId="3" borderId="0" xfId="1" applyNumberFormat="1" applyFont="1" applyFill="1"/>
    <xf numFmtId="0" fontId="0" fillId="4" borderId="0" xfId="0" applyFill="1" applyAlignment="1">
      <alignment wrapText="1"/>
    </xf>
    <xf numFmtId="168" fontId="0" fillId="0" borderId="0" xfId="2" applyNumberFormat="1" applyFont="1"/>
    <xf numFmtId="0" fontId="0" fillId="0" borderId="0" xfId="2" applyNumberFormat="1" applyFont="1"/>
    <xf numFmtId="0" fontId="0" fillId="3" borderId="0" xfId="0" applyFill="1" applyAlignment="1">
      <alignment wrapText="1"/>
    </xf>
    <xf numFmtId="168" fontId="0" fillId="3" borderId="0" xfId="2" applyNumberFormat="1" applyFont="1" applyFill="1"/>
    <xf numFmtId="0" fontId="0" fillId="3" borderId="0" xfId="2" applyNumberFormat="1" applyFont="1" applyFill="1"/>
    <xf numFmtId="14" fontId="0" fillId="3" borderId="0" xfId="0" applyNumberFormat="1" applyFill="1"/>
    <xf numFmtId="169" fontId="0" fillId="3" borderId="0" xfId="1" applyNumberFormat="1" applyFont="1" applyFill="1"/>
    <xf numFmtId="10" fontId="2" fillId="3" borderId="0" xfId="1" applyNumberFormat="1" applyFont="1" applyFill="1"/>
    <xf numFmtId="169" fontId="2" fillId="3" borderId="0" xfId="1" applyNumberFormat="1" applyFont="1" applyFill="1"/>
    <xf numFmtId="9" fontId="0" fillId="0" borderId="0" xfId="1" applyFont="1" applyFill="1"/>
    <xf numFmtId="169" fontId="0" fillId="0" borderId="0" xfId="1" applyNumberFormat="1" applyFont="1" applyFill="1"/>
    <xf numFmtId="9" fontId="0" fillId="5" borderId="0" xfId="1" applyFont="1" applyFill="1"/>
    <xf numFmtId="169" fontId="0" fillId="0" borderId="0" xfId="1" applyNumberFormat="1" applyFont="1"/>
    <xf numFmtId="0" fontId="0" fillId="6" borderId="0" xfId="0" applyFill="1"/>
    <xf numFmtId="0" fontId="0" fillId="0" borderId="0" xfId="0" applyFill="1" applyAlignment="1">
      <alignment wrapText="1"/>
    </xf>
    <xf numFmtId="0" fontId="0" fillId="0" borderId="0" xfId="0" applyFill="1"/>
    <xf numFmtId="0" fontId="0" fillId="0" borderId="1" xfId="0" applyBorder="1"/>
    <xf numFmtId="0" fontId="0" fillId="0" borderId="2" xfId="0" applyBorder="1"/>
    <xf numFmtId="0" fontId="0" fillId="0" borderId="4" xfId="0" applyBorder="1"/>
    <xf numFmtId="0" fontId="0" fillId="0" borderId="0" xfId="0" applyBorder="1"/>
    <xf numFmtId="0" fontId="0" fillId="0" borderId="5" xfId="0" applyBorder="1"/>
    <xf numFmtId="9" fontId="0" fillId="5" borderId="0" xfId="1" applyFont="1" applyFill="1" applyBorder="1"/>
    <xf numFmtId="9" fontId="0" fillId="5" borderId="5" xfId="1" applyFont="1" applyFill="1" applyBorder="1"/>
    <xf numFmtId="0" fontId="0" fillId="0" borderId="6" xfId="0" applyBorder="1"/>
    <xf numFmtId="0" fontId="0" fillId="0" borderId="7" xfId="0" applyBorder="1"/>
    <xf numFmtId="9" fontId="0" fillId="5" borderId="7" xfId="1" applyFont="1" applyFill="1" applyBorder="1"/>
    <xf numFmtId="9" fontId="0" fillId="5" borderId="8" xfId="1" applyFont="1" applyFill="1" applyBorder="1"/>
    <xf numFmtId="10" fontId="0" fillId="3" borderId="7" xfId="1" applyNumberFormat="1" applyFont="1" applyFill="1" applyBorder="1"/>
    <xf numFmtId="9" fontId="0" fillId="3" borderId="7" xfId="1" applyFont="1" applyFill="1" applyBorder="1"/>
    <xf numFmtId="9" fontId="0" fillId="3" borderId="8" xfId="1" applyFont="1" applyFill="1" applyBorder="1"/>
    <xf numFmtId="0" fontId="0" fillId="0" borderId="0" xfId="0" applyBorder="1" applyAlignment="1">
      <alignment horizontal="center"/>
    </xf>
    <xf numFmtId="0" fontId="3" fillId="7" borderId="0" xfId="0" applyFont="1" applyFill="1"/>
    <xf numFmtId="0" fontId="3" fillId="8" borderId="0" xfId="0" applyFont="1" applyFill="1"/>
    <xf numFmtId="0" fontId="3" fillId="0" borderId="0" xfId="0" applyFont="1"/>
    <xf numFmtId="0" fontId="3" fillId="9" borderId="0" xfId="0" applyFont="1" applyFill="1"/>
    <xf numFmtId="0" fontId="4" fillId="0" borderId="0" xfId="0" applyFont="1"/>
    <xf numFmtId="0" fontId="0" fillId="0" borderId="3" xfId="0" applyBorder="1"/>
    <xf numFmtId="0" fontId="0" fillId="0" borderId="8" xfId="0" applyBorder="1"/>
    <xf numFmtId="0" fontId="0" fillId="0" borderId="0" xfId="0" applyAlignment="1">
      <alignment horizontal="center"/>
    </xf>
    <xf numFmtId="0" fontId="1" fillId="0" borderId="0" xfId="0" applyFont="1" applyAlignment="1">
      <alignment horizontal="center"/>
    </xf>
    <xf numFmtId="0" fontId="1" fillId="0" borderId="0" xfId="0" quotePrefix="1" applyFont="1" applyAlignment="1">
      <alignment horizontal="center"/>
    </xf>
    <xf numFmtId="0" fontId="0" fillId="0" borderId="0" xfId="0" applyAlignment="1">
      <alignment horizontal="center" wrapText="1"/>
    </xf>
    <xf numFmtId="0" fontId="1" fillId="0" borderId="2" xfId="0" applyFont="1" applyBorder="1" applyAlignment="1">
      <alignment horizontal="center"/>
    </xf>
    <xf numFmtId="0" fontId="0" fillId="0" borderId="7" xfId="0" applyBorder="1" applyAlignment="1">
      <alignment horizontal="center"/>
    </xf>
    <xf numFmtId="0" fontId="1" fillId="0" borderId="3" xfId="0" applyFont="1" applyBorder="1" applyAlignment="1">
      <alignment horizontal="center"/>
    </xf>
    <xf numFmtId="0" fontId="1" fillId="0" borderId="1" xfId="0" applyFont="1" applyBorder="1" applyAlignment="1">
      <alignment horizontal="center"/>
    </xf>
  </cellXfs>
  <cellStyles count="3">
    <cellStyle name="Comma" xfId="2" builtinId="3"/>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Unconstrained</a:t>
            </a:r>
            <a:r>
              <a:rPr lang="en-US" baseline="0"/>
              <a:t> Efficient Frontier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'Unconst. Efficient Frontier'!$J$27:$J$56</c:f>
              <c:numCache>
                <c:formatCode>0.00%</c:formatCode>
                <c:ptCount val="30"/>
                <c:pt idx="0">
                  <c:v>4.2335949554731439E-2</c:v>
                </c:pt>
                <c:pt idx="1">
                  <c:v>3.7030452383058514E-2</c:v>
                </c:pt>
                <c:pt idx="2">
                  <c:v>3.1879841457752849E-2</c:v>
                </c:pt>
                <c:pt idx="3">
                  <c:v>2.6972925147049985E-2</c:v>
                </c:pt>
                <c:pt idx="4">
                  <c:v>2.2469874926755645E-2</c:v>
                </c:pt>
                <c:pt idx="5">
                  <c:v>1.8650075554984623E-2</c:v>
                </c:pt>
                <c:pt idx="6">
                  <c:v>1.5592148892691466E-2</c:v>
                </c:pt>
                <c:pt idx="7">
                  <c:v>1.3611883339543995E-2</c:v>
                </c:pt>
                <c:pt idx="8">
                  <c:v>1.3018321167462802E-2</c:v>
                </c:pt>
                <c:pt idx="9">
                  <c:v>1.2759148268206131E-2</c:v>
                </c:pt>
                <c:pt idx="10">
                  <c:v>1.2612389543556124E-2</c:v>
                </c:pt>
                <c:pt idx="11">
                  <c:v>1.2581987326765043E-2</c:v>
                </c:pt>
                <c:pt idx="12">
                  <c:v>1.2679178331572602E-2</c:v>
                </c:pt>
                <c:pt idx="13">
                  <c:v>1.2959292085386426E-2</c:v>
                </c:pt>
                <c:pt idx="14">
                  <c:v>1.3419728727453843E-2</c:v>
                </c:pt>
                <c:pt idx="15">
                  <c:v>1.4042774070779654E-2</c:v>
                </c:pt>
                <c:pt idx="16">
                  <c:v>1.4798142121273162E-2</c:v>
                </c:pt>
                <c:pt idx="17">
                  <c:v>1.5928955318821849E-2</c:v>
                </c:pt>
                <c:pt idx="18">
                  <c:v>1.759310442215779E-2</c:v>
                </c:pt>
                <c:pt idx="19">
                  <c:v>1.9655677980658582E-2</c:v>
                </c:pt>
                <c:pt idx="20">
                  <c:v>2.2004891532122896E-2</c:v>
                </c:pt>
                <c:pt idx="21">
                  <c:v>2.4558718460247542E-2</c:v>
                </c:pt>
                <c:pt idx="22">
                  <c:v>2.7259458061501048E-2</c:v>
                </c:pt>
                <c:pt idx="23">
                  <c:v>3.0067778164074726E-2</c:v>
                </c:pt>
                <c:pt idx="24">
                  <c:v>3.2956118302492753E-2</c:v>
                </c:pt>
                <c:pt idx="25">
                  <c:v>3.5905172306792868E-2</c:v>
                </c:pt>
                <c:pt idx="26">
                  <c:v>3.8901134729378485E-2</c:v>
                </c:pt>
                <c:pt idx="27">
                  <c:v>4.1934079567274782E-2</c:v>
                </c:pt>
                <c:pt idx="28">
                  <c:v>4.4996305445089986E-2</c:v>
                </c:pt>
                <c:pt idx="29">
                  <c:v>5.0536036881226543E-2</c:v>
                </c:pt>
              </c:numCache>
            </c:numRef>
          </c:xVal>
          <c:yVal>
            <c:numRef>
              <c:f>'Unconst. Efficient Frontier'!$K$27:$K$56</c:f>
              <c:numCache>
                <c:formatCode>0.00%</c:formatCode>
                <c:ptCount val="30"/>
                <c:pt idx="0">
                  <c:v>1.8228888218849463E-3</c:v>
                </c:pt>
                <c:pt idx="1">
                  <c:v>1.9395546822725759E-3</c:v>
                </c:pt>
                <c:pt idx="2">
                  <c:v>2.0562198982585398E-3</c:v>
                </c:pt>
                <c:pt idx="3">
                  <c:v>2.1728854772358973E-3</c:v>
                </c:pt>
                <c:pt idx="4">
                  <c:v>2.2895532290986122E-3</c:v>
                </c:pt>
                <c:pt idx="5">
                  <c:v>2.4062166351240845E-3</c:v>
                </c:pt>
                <c:pt idx="6">
                  <c:v>2.5228846189678808E-3</c:v>
                </c:pt>
                <c:pt idx="7">
                  <c:v>2.6395503153941774E-3</c:v>
                </c:pt>
                <c:pt idx="8">
                  <c:v>2.7562160111808875E-3</c:v>
                </c:pt>
                <c:pt idx="9">
                  <c:v>2.8728789531135617E-3</c:v>
                </c:pt>
                <c:pt idx="10">
                  <c:v>2.9895445317610686E-3</c:v>
                </c:pt>
                <c:pt idx="11">
                  <c:v>3.1062130977106946E-3</c:v>
                </c:pt>
                <c:pt idx="12">
                  <c:v>3.2228756889521072E-3</c:v>
                </c:pt>
                <c:pt idx="13">
                  <c:v>3.3395444892565813E-3</c:v>
                </c:pt>
                <c:pt idx="14">
                  <c:v>3.4562068468075445E-3</c:v>
                </c:pt>
                <c:pt idx="15">
                  <c:v>3.5728724257558515E-3</c:v>
                </c:pt>
                <c:pt idx="16">
                  <c:v>3.6895415699379442E-3</c:v>
                </c:pt>
                <c:pt idx="17">
                  <c:v>3.8062072699616067E-3</c:v>
                </c:pt>
                <c:pt idx="18">
                  <c:v>3.9228691625235665E-3</c:v>
                </c:pt>
                <c:pt idx="19">
                  <c:v>4.0395347401145001E-3</c:v>
                </c:pt>
                <c:pt idx="20">
                  <c:v>4.156200320494176E-3</c:v>
                </c:pt>
                <c:pt idx="21">
                  <c:v>4.2728700538359329E-3</c:v>
                </c:pt>
                <c:pt idx="22">
                  <c:v>4.3895314780953917E-3</c:v>
                </c:pt>
                <c:pt idx="23">
                  <c:v>4.5061970573924935E-3</c:v>
                </c:pt>
                <c:pt idx="24">
                  <c:v>4.6228626373629499E-3</c:v>
                </c:pt>
                <c:pt idx="25">
                  <c:v>4.7395282150997703E-3</c:v>
                </c:pt>
                <c:pt idx="26">
                  <c:v>4.8561937937254837E-3</c:v>
                </c:pt>
                <c:pt idx="27">
                  <c:v>4.9728642284878211E-3</c:v>
                </c:pt>
                <c:pt idx="28">
                  <c:v>5.0895299237812726E-3</c:v>
                </c:pt>
                <c:pt idx="29">
                  <c:v>5.2061878897303798E-3</c:v>
                </c:pt>
              </c:numCache>
            </c:numRef>
          </c:yVal>
          <c:smooth val="0"/>
          <c:extLst>
            <c:ext xmlns:c16="http://schemas.microsoft.com/office/drawing/2014/chart" uri="{C3380CC4-5D6E-409C-BE32-E72D297353CC}">
              <c16:uniqueId val="{00000000-61C8-41A8-8FD1-02903C492DE2}"/>
            </c:ext>
          </c:extLst>
        </c:ser>
        <c:dLbls>
          <c:showLegendKey val="0"/>
          <c:showVal val="0"/>
          <c:showCatName val="0"/>
          <c:showSerName val="0"/>
          <c:showPercent val="0"/>
          <c:showBubbleSize val="0"/>
        </c:dLbls>
        <c:axId val="1852563199"/>
        <c:axId val="1852560287"/>
      </c:scatterChart>
      <c:valAx>
        <c:axId val="185256319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Risk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2560287"/>
        <c:crosses val="autoZero"/>
        <c:crossBetween val="midCat"/>
      </c:valAx>
      <c:valAx>
        <c:axId val="185256028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Return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2563199"/>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Efficient</a:t>
            </a:r>
            <a:r>
              <a:rPr lang="en-US" baseline="0"/>
              <a:t> Frontier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'Const. Efficient Frontier'!$J$27:$J$56</c:f>
              <c:numCache>
                <c:formatCode>0.00%</c:formatCode>
                <c:ptCount val="30"/>
                <c:pt idx="0">
                  <c:v>2.6340856878769043E-2</c:v>
                </c:pt>
                <c:pt idx="1">
                  <c:v>2.3374133172559604E-2</c:v>
                </c:pt>
                <c:pt idx="2">
                  <c:v>2.0727241908306437E-2</c:v>
                </c:pt>
                <c:pt idx="3">
                  <c:v>1.8386964375943178E-2</c:v>
                </c:pt>
                <c:pt idx="4">
                  <c:v>1.636864432035404E-2</c:v>
                </c:pt>
                <c:pt idx="5">
                  <c:v>1.4788109734832806E-2</c:v>
                </c:pt>
                <c:pt idx="6">
                  <c:v>1.3831609856829272E-2</c:v>
                </c:pt>
                <c:pt idx="7">
                  <c:v>1.3555475796361068E-2</c:v>
                </c:pt>
                <c:pt idx="8">
                  <c:v>1.3541711243930006E-2</c:v>
                </c:pt>
                <c:pt idx="9">
                  <c:v>1.3609840511931443E-2</c:v>
                </c:pt>
                <c:pt idx="10">
                  <c:v>1.3806677151093953E-2</c:v>
                </c:pt>
                <c:pt idx="11">
                  <c:v>1.4148950611754071E-2</c:v>
                </c:pt>
                <c:pt idx="12">
                  <c:v>1.4636332162342809E-2</c:v>
                </c:pt>
                <c:pt idx="13">
                  <c:v>1.5251761554962903E-2</c:v>
                </c:pt>
                <c:pt idx="14">
                  <c:v>1.598045173025147E-2</c:v>
                </c:pt>
                <c:pt idx="15">
                  <c:v>1.680767800996881E-2</c:v>
                </c:pt>
                <c:pt idx="16">
                  <c:v>1.7719645546147925E-2</c:v>
                </c:pt>
                <c:pt idx="17">
                  <c:v>1.8702958288899833E-2</c:v>
                </c:pt>
                <c:pt idx="18">
                  <c:v>2.0192976649764136E-2</c:v>
                </c:pt>
                <c:pt idx="19">
                  <c:v>2.1827356498768585E-2</c:v>
                </c:pt>
                <c:pt idx="20">
                  <c:v>2.3547906980168891E-2</c:v>
                </c:pt>
                <c:pt idx="21">
                  <c:v>2.5337079552465218E-2</c:v>
                </c:pt>
                <c:pt idx="22">
                  <c:v>2.7181326733034271E-2</c:v>
                </c:pt>
                <c:pt idx="23">
                  <c:v>2.9071007128007555E-2</c:v>
                </c:pt>
                <c:pt idx="24">
                  <c:v>3.1069484656579285E-2</c:v>
                </c:pt>
                <c:pt idx="25">
                  <c:v>3.3200741226740001E-2</c:v>
                </c:pt>
                <c:pt idx="26">
                  <c:v>3.5470186508202495E-2</c:v>
                </c:pt>
                <c:pt idx="27">
                  <c:v>3.7770393957918751E-2</c:v>
                </c:pt>
                <c:pt idx="28">
                  <c:v>4.0173869122705652E-2</c:v>
                </c:pt>
                <c:pt idx="29">
                  <c:v>4.2638759136394908E-2</c:v>
                </c:pt>
              </c:numCache>
            </c:numRef>
          </c:xVal>
          <c:yVal>
            <c:numRef>
              <c:f>'Const. Efficient Frontier'!$K$27:$K$56</c:f>
              <c:numCache>
                <c:formatCode>0.00%</c:formatCode>
                <c:ptCount val="30"/>
                <c:pt idx="0">
                  <c:v>2.5006239390145597E-3</c:v>
                </c:pt>
                <c:pt idx="1">
                  <c:v>2.5785737444888146E-3</c:v>
                </c:pt>
                <c:pt idx="2">
                  <c:v>2.6565235831132322E-3</c:v>
                </c:pt>
                <c:pt idx="3">
                  <c:v>2.7344734096370286E-3</c:v>
                </c:pt>
                <c:pt idx="4">
                  <c:v>2.8124232331367656E-3</c:v>
                </c:pt>
                <c:pt idx="5">
                  <c:v>2.8913730565132412E-3</c:v>
                </c:pt>
                <c:pt idx="6">
                  <c:v>2.9683228833239372E-3</c:v>
                </c:pt>
                <c:pt idx="7">
                  <c:v>3.0462727030461665E-3</c:v>
                </c:pt>
                <c:pt idx="8">
                  <c:v>3.1242225275205726E-3</c:v>
                </c:pt>
                <c:pt idx="9">
                  <c:v>3.2021723509908229E-3</c:v>
                </c:pt>
                <c:pt idx="10">
                  <c:v>3.2811221740119243E-3</c:v>
                </c:pt>
                <c:pt idx="11">
                  <c:v>3.3580719974856165E-3</c:v>
                </c:pt>
                <c:pt idx="12">
                  <c:v>3.4360218209853522E-3</c:v>
                </c:pt>
                <c:pt idx="13">
                  <c:v>3.5139716444850893E-3</c:v>
                </c:pt>
                <c:pt idx="14">
                  <c:v>3.5919214679848255E-3</c:v>
                </c:pt>
                <c:pt idx="15">
                  <c:v>3.6698712914845625E-3</c:v>
                </c:pt>
                <c:pt idx="16">
                  <c:v>3.7478211149842987E-3</c:v>
                </c:pt>
                <c:pt idx="17">
                  <c:v>3.825770938490626E-3</c:v>
                </c:pt>
                <c:pt idx="18">
                  <c:v>3.9037207620088651E-3</c:v>
                </c:pt>
                <c:pt idx="19">
                  <c:v>3.981670585512226E-3</c:v>
                </c:pt>
                <c:pt idx="20">
                  <c:v>4.0596204090119613E-3</c:v>
                </c:pt>
                <c:pt idx="21">
                  <c:v>4.1375702325116993E-3</c:v>
                </c:pt>
                <c:pt idx="22">
                  <c:v>4.2155200559652562E-3</c:v>
                </c:pt>
                <c:pt idx="23">
                  <c:v>4.2934698794862974E-3</c:v>
                </c:pt>
                <c:pt idx="24">
                  <c:v>4.3714197029860319E-3</c:v>
                </c:pt>
                <c:pt idx="25">
                  <c:v>4.4493695264857681E-3</c:v>
                </c:pt>
                <c:pt idx="26">
                  <c:v>4.5283193500077071E-3</c:v>
                </c:pt>
                <c:pt idx="27">
                  <c:v>4.6052691734852396E-3</c:v>
                </c:pt>
                <c:pt idx="28">
                  <c:v>4.6832189969849758E-3</c:v>
                </c:pt>
                <c:pt idx="29">
                  <c:v>4.7611688205069164E-3</c:v>
                </c:pt>
              </c:numCache>
            </c:numRef>
          </c:yVal>
          <c:smooth val="0"/>
          <c:extLst>
            <c:ext xmlns:c16="http://schemas.microsoft.com/office/drawing/2014/chart" uri="{C3380CC4-5D6E-409C-BE32-E72D297353CC}">
              <c16:uniqueId val="{00000000-8808-4240-A2D5-18DE712D9143}"/>
            </c:ext>
          </c:extLst>
        </c:ser>
        <c:dLbls>
          <c:showLegendKey val="0"/>
          <c:showVal val="0"/>
          <c:showCatName val="0"/>
          <c:showSerName val="0"/>
          <c:showPercent val="0"/>
          <c:showBubbleSize val="0"/>
        </c:dLbls>
        <c:axId val="660800607"/>
        <c:axId val="660799775"/>
      </c:scatterChart>
      <c:valAx>
        <c:axId val="66080060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Risk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799775"/>
        <c:crosses val="autoZero"/>
        <c:crossBetween val="midCat"/>
      </c:valAx>
      <c:valAx>
        <c:axId val="6607997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Return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800607"/>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Unconstrained and Constrained</a:t>
            </a:r>
            <a:r>
              <a:rPr lang="en-US" baseline="0"/>
              <a:t> </a:t>
            </a:r>
            <a:r>
              <a:rPr lang="en-US"/>
              <a:t>Efficient</a:t>
            </a:r>
            <a:r>
              <a:rPr lang="en-US" baseline="0"/>
              <a:t> Frontier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Unconstrained</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'Min Var and Max Ret. Portfolio'!$B$8:$B$37</c:f>
              <c:numCache>
                <c:formatCode>0.000%</c:formatCode>
                <c:ptCount val="30"/>
                <c:pt idx="0">
                  <c:v>4.2335769304751511E-2</c:v>
                </c:pt>
                <c:pt idx="1">
                  <c:v>3.7030384478698053E-2</c:v>
                </c:pt>
                <c:pt idx="2">
                  <c:v>3.1879755543889533E-2</c:v>
                </c:pt>
                <c:pt idx="3">
                  <c:v>2.6972840071493129E-2</c:v>
                </c:pt>
                <c:pt idx="4">
                  <c:v>2.2469953430529373E-2</c:v>
                </c:pt>
                <c:pt idx="5">
                  <c:v>1.8650075513652841E-2</c:v>
                </c:pt>
                <c:pt idx="6">
                  <c:v>1.5592202573826904E-2</c:v>
                </c:pt>
                <c:pt idx="7">
                  <c:v>1.3611910638525043E-2</c:v>
                </c:pt>
                <c:pt idx="8">
                  <c:v>1.3018328255024397E-2</c:v>
                </c:pt>
                <c:pt idx="9">
                  <c:v>1.2759148268662888E-2</c:v>
                </c:pt>
                <c:pt idx="10">
                  <c:v>1.2612389542822242E-2</c:v>
                </c:pt>
                <c:pt idx="11">
                  <c:v>1.2581987327044101E-2</c:v>
                </c:pt>
                <c:pt idx="12">
                  <c:v>1.2679178333125648E-2</c:v>
                </c:pt>
                <c:pt idx="13">
                  <c:v>1.2959292088441637E-2</c:v>
                </c:pt>
                <c:pt idx="14">
                  <c:v>1.3419728731427506E-2</c:v>
                </c:pt>
                <c:pt idx="15">
                  <c:v>1.4042774074575173E-2</c:v>
                </c:pt>
                <c:pt idx="16">
                  <c:v>1.4798117037181013E-2</c:v>
                </c:pt>
                <c:pt idx="17">
                  <c:v>1.5928910424193359E-2</c:v>
                </c:pt>
                <c:pt idx="18">
                  <c:v>1.7593165893595872E-2</c:v>
                </c:pt>
                <c:pt idx="19">
                  <c:v>1.9655677988804677E-2</c:v>
                </c:pt>
                <c:pt idx="20">
                  <c:v>2.2004891537515728E-2</c:v>
                </c:pt>
                <c:pt idx="21">
                  <c:v>2.4558718498349348E-2</c:v>
                </c:pt>
                <c:pt idx="22">
                  <c:v>2.7259458066639024E-2</c:v>
                </c:pt>
                <c:pt idx="23">
                  <c:v>3.0067778192957011E-2</c:v>
                </c:pt>
                <c:pt idx="24">
                  <c:v>3.2956231103346681E-2</c:v>
                </c:pt>
                <c:pt idx="25">
                  <c:v>3.5905172320778431E-2</c:v>
                </c:pt>
                <c:pt idx="26">
                  <c:v>3.8901134745783023E-2</c:v>
                </c:pt>
                <c:pt idx="27">
                  <c:v>4.1933952699293245E-2</c:v>
                </c:pt>
                <c:pt idx="28">
                  <c:v>4.4996305440539335E-2</c:v>
                </c:pt>
                <c:pt idx="29">
                  <c:v>5.0536034798350365E-2</c:v>
                </c:pt>
              </c:numCache>
            </c:numRef>
          </c:xVal>
          <c:yVal>
            <c:numRef>
              <c:f>'Min Var and Max Ret. Portfolio'!$C$8:$C$37</c:f>
              <c:numCache>
                <c:formatCode>0.000%</c:formatCode>
                <c:ptCount val="30"/>
                <c:pt idx="0">
                  <c:v>1.8228896520370019E-3</c:v>
                </c:pt>
                <c:pt idx="1">
                  <c:v>1.9395561439662738E-3</c:v>
                </c:pt>
                <c:pt idx="2">
                  <c:v>2.0562218395458482E-3</c:v>
                </c:pt>
                <c:pt idx="3">
                  <c:v>2.1728875351246261E-3</c:v>
                </c:pt>
                <c:pt idx="4">
                  <c:v>2.2895510578159512E-3</c:v>
                </c:pt>
                <c:pt idx="5">
                  <c:v>2.406216636527644E-3</c:v>
                </c:pt>
                <c:pt idx="6">
                  <c:v>2.5228822158766943E-3</c:v>
                </c:pt>
                <c:pt idx="7">
                  <c:v>2.6395477945138886E-3</c:v>
                </c:pt>
                <c:pt idx="8">
                  <c:v>2.7562133727301692E-3</c:v>
                </c:pt>
                <c:pt idx="9">
                  <c:v>2.8728789528521667E-3</c:v>
                </c:pt>
                <c:pt idx="10">
                  <c:v>2.9895445327231913E-3</c:v>
                </c:pt>
                <c:pt idx="11">
                  <c:v>3.1062130988599428E-3</c:v>
                </c:pt>
                <c:pt idx="12">
                  <c:v>3.2228756899298772E-3</c:v>
                </c:pt>
                <c:pt idx="13">
                  <c:v>3.3395444902125466E-3</c:v>
                </c:pt>
                <c:pt idx="14">
                  <c:v>3.4562068476581102E-3</c:v>
                </c:pt>
                <c:pt idx="15">
                  <c:v>3.5728724263909693E-3</c:v>
                </c:pt>
                <c:pt idx="16">
                  <c:v>3.6895379947169066E-3</c:v>
                </c:pt>
                <c:pt idx="17">
                  <c:v>3.8062035838079163E-3</c:v>
                </c:pt>
                <c:pt idx="18">
                  <c:v>3.9228729681209523E-3</c:v>
                </c:pt>
                <c:pt idx="19">
                  <c:v>4.0395347405422126E-3</c:v>
                </c:pt>
                <c:pt idx="20">
                  <c:v>4.156200320749634E-3</c:v>
                </c:pt>
                <c:pt idx="21">
                  <c:v>4.272870055522804E-3</c:v>
                </c:pt>
                <c:pt idx="22">
                  <c:v>4.3895314783125739E-3</c:v>
                </c:pt>
                <c:pt idx="23">
                  <c:v>4.5061970585739183E-3</c:v>
                </c:pt>
                <c:pt idx="24">
                  <c:v>4.6228671420650239E-3</c:v>
                </c:pt>
                <c:pt idx="25">
                  <c:v>4.7395282156483184E-3</c:v>
                </c:pt>
                <c:pt idx="26">
                  <c:v>4.8561937943600864E-3</c:v>
                </c:pt>
                <c:pt idx="27">
                  <c:v>4.9728593734132114E-3</c:v>
                </c:pt>
                <c:pt idx="28">
                  <c:v>5.0895299236086156E-3</c:v>
                </c:pt>
                <c:pt idx="29">
                  <c:v>5.2061878801111421E-3</c:v>
                </c:pt>
              </c:numCache>
            </c:numRef>
          </c:yVal>
          <c:smooth val="0"/>
          <c:extLst>
            <c:ext xmlns:c16="http://schemas.microsoft.com/office/drawing/2014/chart" uri="{C3380CC4-5D6E-409C-BE32-E72D297353CC}">
              <c16:uniqueId val="{00000000-3057-4F57-9ED7-61503C68BBA3}"/>
            </c:ext>
          </c:extLst>
        </c:ser>
        <c:ser>
          <c:idx val="1"/>
          <c:order val="1"/>
          <c:tx>
            <c:v>Constrained</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'Min Var and Max Ret. Portfolio'!$E$8:$E$37</c:f>
              <c:numCache>
                <c:formatCode>0.000%</c:formatCode>
                <c:ptCount val="30"/>
                <c:pt idx="0">
                  <c:v>2.6340857005219261E-2</c:v>
                </c:pt>
                <c:pt idx="1">
                  <c:v>2.3373768944058335E-2</c:v>
                </c:pt>
                <c:pt idx="2">
                  <c:v>2.0726925534173306E-2</c:v>
                </c:pt>
                <c:pt idx="3">
                  <c:v>1.8386964379384658E-2</c:v>
                </c:pt>
                <c:pt idx="4">
                  <c:v>1.636841134892348E-2</c:v>
                </c:pt>
                <c:pt idx="5">
                  <c:v>1.4802900335800541E-2</c:v>
                </c:pt>
                <c:pt idx="6">
                  <c:v>1.3831609887959713E-2</c:v>
                </c:pt>
                <c:pt idx="7">
                  <c:v>1.3555468788236153E-2</c:v>
                </c:pt>
                <c:pt idx="8">
                  <c:v>1.3541711243761077E-2</c:v>
                </c:pt>
                <c:pt idx="9">
                  <c:v>1.3609840688201705E-2</c:v>
                </c:pt>
                <c:pt idx="10">
                  <c:v>1.3803222204448283E-2</c:v>
                </c:pt>
                <c:pt idx="11">
                  <c:v>1.4148950611892561E-2</c:v>
                </c:pt>
                <c:pt idx="12">
                  <c:v>1.4636403211529323E-2</c:v>
                </c:pt>
                <c:pt idx="13">
                  <c:v>1.5251848093220388E-2</c:v>
                </c:pt>
                <c:pt idx="14">
                  <c:v>1.5980451730509611E-2</c:v>
                </c:pt>
                <c:pt idx="15">
                  <c:v>1.6807789850732797E-2</c:v>
                </c:pt>
                <c:pt idx="16">
                  <c:v>1.7719767430356359E-2</c:v>
                </c:pt>
                <c:pt idx="17">
                  <c:v>1.8702958289209988E-2</c:v>
                </c:pt>
                <c:pt idx="18">
                  <c:v>2.0192976649957926E-2</c:v>
                </c:pt>
                <c:pt idx="19">
                  <c:v>2.1827356498226407E-2</c:v>
                </c:pt>
                <c:pt idx="20">
                  <c:v>2.3547906979602014E-2</c:v>
                </c:pt>
                <c:pt idx="21">
                  <c:v>2.5337079551878552E-2</c:v>
                </c:pt>
                <c:pt idx="22">
                  <c:v>2.718132673353835E-2</c:v>
                </c:pt>
                <c:pt idx="23">
                  <c:v>2.9071253802481427E-2</c:v>
                </c:pt>
                <c:pt idx="24">
                  <c:v>3.1069750121241496E-2</c:v>
                </c:pt>
                <c:pt idx="25">
                  <c:v>3.320102208268997E-2</c:v>
                </c:pt>
                <c:pt idx="26">
                  <c:v>3.5441124161980711E-2</c:v>
                </c:pt>
                <c:pt idx="27">
                  <c:v>3.7770697851448098E-2</c:v>
                </c:pt>
                <c:pt idx="28">
                  <c:v>4.017386912339261E-2</c:v>
                </c:pt>
                <c:pt idx="29">
                  <c:v>4.2638759136394908E-2</c:v>
                </c:pt>
              </c:numCache>
            </c:numRef>
          </c:xVal>
          <c:yVal>
            <c:numRef>
              <c:f>'Min Var and Max Ret. Portfolio'!$F$8:$F$37</c:f>
              <c:numCache>
                <c:formatCode>0.000%</c:formatCode>
                <c:ptCount val="30"/>
                <c:pt idx="0">
                  <c:v>2.5006239346767522E-3</c:v>
                </c:pt>
                <c:pt idx="1">
                  <c:v>2.5785837445016124E-3</c:v>
                </c:pt>
                <c:pt idx="2">
                  <c:v>2.6565335830740465E-3</c:v>
                </c:pt>
                <c:pt idx="3">
                  <c:v>2.7344734095150012E-3</c:v>
                </c:pt>
                <c:pt idx="4">
                  <c:v>2.8124332330135048E-3</c:v>
                </c:pt>
                <c:pt idx="5">
                  <c:v>2.8903730575174248E-3</c:v>
                </c:pt>
                <c:pt idx="6">
                  <c:v>2.9683228794547233E-3</c:v>
                </c:pt>
                <c:pt idx="7">
                  <c:v>3.0462827030954898E-3</c:v>
                </c:pt>
                <c:pt idx="8">
                  <c:v>3.1242225270354828E-3</c:v>
                </c:pt>
                <c:pt idx="9">
                  <c:v>3.2021724709437481E-3</c:v>
                </c:pt>
                <c:pt idx="10">
                  <c:v>3.2801321740119254E-3</c:v>
                </c:pt>
                <c:pt idx="11">
                  <c:v>3.3580719975114014E-3</c:v>
                </c:pt>
                <c:pt idx="12">
                  <c:v>3.4360318210113986E-3</c:v>
                </c:pt>
                <c:pt idx="13">
                  <c:v>3.5139816445111352E-3</c:v>
                </c:pt>
                <c:pt idx="14">
                  <c:v>3.5919214680106113E-3</c:v>
                </c:pt>
                <c:pt idx="15">
                  <c:v>3.6698812915106085E-3</c:v>
                </c:pt>
                <c:pt idx="16">
                  <c:v>3.7478311150103451E-3</c:v>
                </c:pt>
                <c:pt idx="17">
                  <c:v>3.8257709385145439E-3</c:v>
                </c:pt>
                <c:pt idx="18">
                  <c:v>3.9037207620184E-3</c:v>
                </c:pt>
                <c:pt idx="19">
                  <c:v>3.9816705854870812E-3</c:v>
                </c:pt>
                <c:pt idx="20">
                  <c:v>4.0596204089868183E-3</c:v>
                </c:pt>
                <c:pt idx="21">
                  <c:v>4.1375702324865545E-3</c:v>
                </c:pt>
                <c:pt idx="22">
                  <c:v>4.2155200559862898E-3</c:v>
                </c:pt>
                <c:pt idx="23">
                  <c:v>4.2934798795084992E-3</c:v>
                </c:pt>
                <c:pt idx="24">
                  <c:v>4.3714297030082354E-3</c:v>
                </c:pt>
                <c:pt idx="25">
                  <c:v>4.4493795265079716E-3</c:v>
                </c:pt>
                <c:pt idx="26">
                  <c:v>4.5273293500077078E-3</c:v>
                </c:pt>
                <c:pt idx="27">
                  <c:v>4.605279173507444E-3</c:v>
                </c:pt>
                <c:pt idx="28">
                  <c:v>4.6832189970069573E-3</c:v>
                </c:pt>
                <c:pt idx="29">
                  <c:v>4.7611688205069164E-3</c:v>
                </c:pt>
              </c:numCache>
            </c:numRef>
          </c:yVal>
          <c:smooth val="0"/>
          <c:extLst>
            <c:ext xmlns:c16="http://schemas.microsoft.com/office/drawing/2014/chart" uri="{C3380CC4-5D6E-409C-BE32-E72D297353CC}">
              <c16:uniqueId val="{00000001-3057-4F57-9ED7-61503C68BBA3}"/>
            </c:ext>
          </c:extLst>
        </c:ser>
        <c:dLbls>
          <c:showLegendKey val="0"/>
          <c:showVal val="0"/>
          <c:showCatName val="0"/>
          <c:showSerName val="0"/>
          <c:showPercent val="0"/>
          <c:showBubbleSize val="0"/>
        </c:dLbls>
        <c:axId val="793037823"/>
        <c:axId val="793031167"/>
      </c:scatterChart>
      <c:valAx>
        <c:axId val="793037823"/>
        <c:scaling>
          <c:orientation val="minMax"/>
          <c:min val="1.0000000000000002E-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Risk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3031167"/>
        <c:crosses val="autoZero"/>
        <c:crossBetween val="midCat"/>
      </c:valAx>
      <c:valAx>
        <c:axId val="793031167"/>
        <c:scaling>
          <c:orientation val="minMax"/>
          <c:min val="1.0000000000000002E-3"/>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Returns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3037823"/>
        <c:crosses val="autoZero"/>
        <c:crossBetween val="midCat"/>
      </c:valAx>
      <c:spPr>
        <a:noFill/>
        <a:ln>
          <a:noFill/>
        </a:ln>
        <a:effectLst/>
      </c:spPr>
    </c:plotArea>
    <c:legend>
      <c:legendPos val="r"/>
      <c:legendEntry>
        <c:idx val="0"/>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12</xdr:col>
      <xdr:colOff>9524</xdr:colOff>
      <xdr:row>21</xdr:row>
      <xdr:rowOff>4762</xdr:rowOff>
    </xdr:from>
    <xdr:to>
      <xdr:col>22</xdr:col>
      <xdr:colOff>552450</xdr:colOff>
      <xdr:row>41</xdr:row>
      <xdr:rowOff>85725</xdr:rowOff>
    </xdr:to>
    <xdr:graphicFrame macro="">
      <xdr:nvGraphicFramePr>
        <xdr:cNvPr id="4" name="Chart 3">
          <a:extLst>
            <a:ext uri="{FF2B5EF4-FFF2-40B4-BE49-F238E27FC236}">
              <a16:creationId xmlns:a16="http://schemas.microsoft.com/office/drawing/2014/main" id="{1C1E6BF9-FE86-4DE5-83FB-BB2297E161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12</xdr:col>
      <xdr:colOff>6320</xdr:colOff>
      <xdr:row>20</xdr:row>
      <xdr:rowOff>8776</xdr:rowOff>
    </xdr:from>
    <xdr:to>
      <xdr:col>23</xdr:col>
      <xdr:colOff>109817</xdr:colOff>
      <xdr:row>39</xdr:row>
      <xdr:rowOff>100852</xdr:rowOff>
    </xdr:to>
    <xdr:graphicFrame macro="">
      <xdr:nvGraphicFramePr>
        <xdr:cNvPr id="2" name="Chart 1">
          <a:extLst>
            <a:ext uri="{FF2B5EF4-FFF2-40B4-BE49-F238E27FC236}">
              <a16:creationId xmlns:a16="http://schemas.microsoft.com/office/drawing/2014/main" id="{6781A639-71FD-423A-957D-AD641DEAAC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7620</xdr:colOff>
      <xdr:row>1</xdr:row>
      <xdr:rowOff>179070</xdr:rowOff>
    </xdr:from>
    <xdr:to>
      <xdr:col>16</xdr:col>
      <xdr:colOff>335280</xdr:colOff>
      <xdr:row>22</xdr:row>
      <xdr:rowOff>7620</xdr:rowOff>
    </xdr:to>
    <xdr:graphicFrame macro="">
      <xdr:nvGraphicFramePr>
        <xdr:cNvPr id="2" name="Chart 1">
          <a:extLst>
            <a:ext uri="{FF2B5EF4-FFF2-40B4-BE49-F238E27FC236}">
              <a16:creationId xmlns:a16="http://schemas.microsoft.com/office/drawing/2014/main" id="{48632F54-5B42-4476-A4FD-367F9133B8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5C54B-AAA6-A14A-97E2-B14BC90AAEF2}">
  <sheetPr codeName="Sheet8"/>
  <dimension ref="A1:H27"/>
  <sheetViews>
    <sheetView zoomScale="109" zoomScaleNormal="130" workbookViewId="0">
      <selection activeCell="C2" sqref="C2"/>
    </sheetView>
  </sheetViews>
  <sheetFormatPr baseColWidth="10" defaultColWidth="11.5" defaultRowHeight="15" x14ac:dyDescent="0.2"/>
  <cols>
    <col min="1" max="1" width="20.83203125" customWidth="1"/>
    <col min="2" max="2" width="16.5" customWidth="1"/>
    <col min="3" max="4" width="14.1640625" customWidth="1"/>
  </cols>
  <sheetData>
    <row r="1" spans="1:8" x14ac:dyDescent="0.2">
      <c r="A1" s="51" t="s">
        <v>96</v>
      </c>
      <c r="B1" s="52" t="s">
        <v>97</v>
      </c>
      <c r="C1" s="52" t="s">
        <v>98</v>
      </c>
      <c r="D1" s="52" t="s">
        <v>99</v>
      </c>
      <c r="E1" s="53"/>
      <c r="F1" s="53"/>
      <c r="G1" s="53"/>
      <c r="H1" s="53"/>
    </row>
    <row r="2" spans="1:8" x14ac:dyDescent="0.2">
      <c r="A2" s="53"/>
      <c r="B2" s="53"/>
      <c r="C2" s="53"/>
      <c r="D2" s="53"/>
      <c r="E2" s="53"/>
      <c r="F2" s="53"/>
      <c r="G2" s="53"/>
      <c r="H2" s="53"/>
    </row>
    <row r="3" spans="1:8" x14ac:dyDescent="0.2">
      <c r="A3" s="54" t="s">
        <v>100</v>
      </c>
      <c r="B3" s="54"/>
      <c r="C3" s="54"/>
      <c r="D3" s="54"/>
      <c r="E3" s="54"/>
      <c r="F3" s="54"/>
      <c r="G3" s="53"/>
      <c r="H3" s="53"/>
    </row>
    <row r="4" spans="1:8" x14ac:dyDescent="0.2">
      <c r="A4" s="53"/>
      <c r="B4" s="53"/>
      <c r="C4" s="53"/>
      <c r="D4" s="53"/>
      <c r="E4" s="53"/>
      <c r="F4" s="53"/>
      <c r="G4" s="53"/>
      <c r="H4" s="53"/>
    </row>
    <row r="5" spans="1:8" x14ac:dyDescent="0.2">
      <c r="A5" s="55" t="s">
        <v>101</v>
      </c>
      <c r="B5" s="53"/>
      <c r="C5" s="53"/>
      <c r="D5" s="53"/>
      <c r="E5" s="53"/>
      <c r="F5" s="53"/>
      <c r="G5" s="53"/>
      <c r="H5" s="53"/>
    </row>
    <row r="6" spans="1:8" x14ac:dyDescent="0.2">
      <c r="A6" s="53" t="s">
        <v>102</v>
      </c>
      <c r="B6" s="53"/>
      <c r="C6" s="53"/>
      <c r="D6" s="53"/>
      <c r="E6" s="53"/>
      <c r="F6" s="53"/>
      <c r="G6" s="53"/>
      <c r="H6" s="53"/>
    </row>
    <row r="7" spans="1:8" x14ac:dyDescent="0.2">
      <c r="A7" s="53"/>
      <c r="B7" s="53"/>
      <c r="C7" s="53"/>
      <c r="D7" s="53"/>
      <c r="E7" s="53"/>
      <c r="F7" s="53"/>
      <c r="G7" s="53"/>
      <c r="H7" s="53"/>
    </row>
    <row r="8" spans="1:8" x14ac:dyDescent="0.2">
      <c r="A8" s="55" t="s">
        <v>103</v>
      </c>
      <c r="B8" s="53"/>
      <c r="C8" s="53"/>
      <c r="D8" s="53"/>
      <c r="E8" s="53"/>
      <c r="F8" s="53"/>
      <c r="G8" s="53"/>
      <c r="H8" s="53"/>
    </row>
    <row r="9" spans="1:8" x14ac:dyDescent="0.2">
      <c r="A9" s="53" t="s">
        <v>112</v>
      </c>
      <c r="B9" s="53"/>
      <c r="C9" s="53"/>
      <c r="D9" s="53"/>
      <c r="E9" s="53"/>
      <c r="F9" s="53"/>
      <c r="G9" s="53"/>
      <c r="H9" s="53"/>
    </row>
    <row r="10" spans="1:8" x14ac:dyDescent="0.2">
      <c r="A10" s="53"/>
      <c r="B10" s="53"/>
      <c r="C10" s="53"/>
      <c r="D10" s="53"/>
      <c r="E10" s="53"/>
      <c r="F10" s="53"/>
      <c r="G10" s="53"/>
      <c r="H10" s="53"/>
    </row>
    <row r="11" spans="1:8" x14ac:dyDescent="0.2">
      <c r="A11" s="55" t="s">
        <v>104</v>
      </c>
      <c r="B11" s="53"/>
      <c r="C11" s="53"/>
      <c r="D11" s="53"/>
      <c r="E11" s="53"/>
      <c r="F11" s="53"/>
      <c r="G11" s="53"/>
      <c r="H11" s="53"/>
    </row>
    <row r="12" spans="1:8" x14ac:dyDescent="0.2">
      <c r="A12" s="53" t="s">
        <v>105</v>
      </c>
      <c r="B12" s="53"/>
      <c r="C12" s="53"/>
      <c r="D12" s="53"/>
      <c r="E12" s="53"/>
      <c r="F12" s="53"/>
      <c r="G12" s="53"/>
      <c r="H12" s="53"/>
    </row>
    <row r="13" spans="1:8" x14ac:dyDescent="0.2">
      <c r="A13" s="53"/>
      <c r="B13" s="53"/>
      <c r="C13" s="53"/>
      <c r="D13" s="53"/>
      <c r="E13" s="53"/>
      <c r="F13" s="53"/>
      <c r="G13" s="53"/>
      <c r="H13" s="53"/>
    </row>
    <row r="14" spans="1:8" x14ac:dyDescent="0.2">
      <c r="A14" s="55" t="s">
        <v>106</v>
      </c>
      <c r="B14" s="53"/>
      <c r="C14" s="53"/>
      <c r="D14" s="53"/>
      <c r="E14" s="53"/>
      <c r="F14" s="53"/>
      <c r="G14" s="53"/>
      <c r="H14" s="53"/>
    </row>
    <row r="15" spans="1:8" x14ac:dyDescent="0.2">
      <c r="A15" s="53" t="s">
        <v>114</v>
      </c>
      <c r="B15" s="53"/>
      <c r="C15" s="53"/>
      <c r="D15" s="53"/>
      <c r="E15" s="53"/>
      <c r="F15" s="53"/>
      <c r="G15" s="53"/>
      <c r="H15" s="53"/>
    </row>
    <row r="16" spans="1:8" x14ac:dyDescent="0.2">
      <c r="A16" s="53"/>
      <c r="B16" s="53"/>
      <c r="C16" s="53"/>
      <c r="D16" s="53"/>
      <c r="E16" s="53"/>
      <c r="F16" s="53"/>
      <c r="G16" s="53"/>
      <c r="H16" s="53"/>
    </row>
    <row r="17" spans="1:8" x14ac:dyDescent="0.2">
      <c r="A17" s="55" t="s">
        <v>107</v>
      </c>
      <c r="B17" s="53"/>
      <c r="C17" s="53"/>
      <c r="D17" s="53"/>
      <c r="E17" s="53"/>
      <c r="F17" s="53"/>
      <c r="G17" s="53"/>
      <c r="H17" s="53"/>
    </row>
    <row r="18" spans="1:8" x14ac:dyDescent="0.2">
      <c r="A18" s="53" t="s">
        <v>115</v>
      </c>
      <c r="B18" s="53"/>
      <c r="C18" s="53"/>
      <c r="D18" s="53"/>
      <c r="E18" s="53"/>
      <c r="F18" s="53"/>
      <c r="G18" s="53"/>
      <c r="H18" s="53"/>
    </row>
    <row r="19" spans="1:8" x14ac:dyDescent="0.2">
      <c r="A19" s="53"/>
      <c r="B19" s="53"/>
      <c r="C19" s="53"/>
      <c r="D19" s="53"/>
      <c r="E19" s="53"/>
      <c r="F19" s="53"/>
      <c r="G19" s="53"/>
      <c r="H19" s="53"/>
    </row>
    <row r="20" spans="1:8" x14ac:dyDescent="0.2">
      <c r="A20" s="55" t="s">
        <v>108</v>
      </c>
      <c r="B20" s="53"/>
      <c r="C20" s="53"/>
      <c r="D20" s="53"/>
      <c r="E20" s="53"/>
      <c r="F20" s="53"/>
      <c r="G20" s="53"/>
      <c r="H20" s="53"/>
    </row>
    <row r="21" spans="1:8" x14ac:dyDescent="0.2">
      <c r="A21" s="53" t="s">
        <v>109</v>
      </c>
      <c r="B21" s="53"/>
      <c r="C21" s="53"/>
      <c r="D21" s="53"/>
      <c r="E21" s="53"/>
      <c r="F21" s="53"/>
      <c r="G21" s="53"/>
      <c r="H21" s="53"/>
    </row>
    <row r="22" spans="1:8" x14ac:dyDescent="0.2">
      <c r="A22" s="53"/>
      <c r="B22" s="53"/>
      <c r="C22" s="53"/>
      <c r="D22" s="53"/>
      <c r="E22" s="53"/>
      <c r="F22" s="53"/>
      <c r="G22" s="53"/>
      <c r="H22" s="53"/>
    </row>
    <row r="23" spans="1:8" x14ac:dyDescent="0.2">
      <c r="A23" s="55" t="s">
        <v>110</v>
      </c>
      <c r="B23" s="53"/>
      <c r="C23" s="53"/>
      <c r="D23" s="53"/>
      <c r="E23" s="53"/>
      <c r="F23" s="53"/>
      <c r="G23" s="53"/>
      <c r="H23" s="53"/>
    </row>
    <row r="24" spans="1:8" x14ac:dyDescent="0.2">
      <c r="A24" s="53" t="s">
        <v>116</v>
      </c>
    </row>
    <row r="26" spans="1:8" x14ac:dyDescent="0.2">
      <c r="A26" s="3" t="s">
        <v>111</v>
      </c>
    </row>
    <row r="27" spans="1:8" x14ac:dyDescent="0.2">
      <c r="A27" t="s">
        <v>113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107"/>
  <sheetViews>
    <sheetView zoomScale="72" workbookViewId="0">
      <selection activeCell="R9" sqref="R9"/>
    </sheetView>
  </sheetViews>
  <sheetFormatPr baseColWidth="10" defaultColWidth="8.83203125" defaultRowHeight="15" x14ac:dyDescent="0.2"/>
  <cols>
    <col min="2" max="2" width="11.1640625" bestFit="1" customWidth="1"/>
    <col min="3" max="3" width="10.5" customWidth="1"/>
    <col min="4" max="4" width="11" bestFit="1" customWidth="1"/>
    <col min="5" max="6" width="11" customWidth="1"/>
    <col min="7" max="7" width="10" bestFit="1" customWidth="1"/>
    <col min="8" max="9" width="10" customWidth="1"/>
    <col min="10" max="10" width="10" bestFit="1" customWidth="1"/>
    <col min="11" max="12" width="10" customWidth="1"/>
    <col min="13" max="13" width="11" bestFit="1" customWidth="1"/>
    <col min="14" max="15" width="11" customWidth="1"/>
    <col min="16" max="16" width="11" bestFit="1" customWidth="1"/>
    <col min="17" max="18" width="11" customWidth="1"/>
    <col min="19" max="23" width="12.6640625" bestFit="1" customWidth="1"/>
  </cols>
  <sheetData>
    <row r="1" spans="1:23" x14ac:dyDescent="0.2">
      <c r="S1" s="4"/>
      <c r="T1" s="4"/>
      <c r="U1" s="4"/>
      <c r="V1" s="4"/>
      <c r="W1" s="4"/>
    </row>
    <row r="2" spans="1:23" x14ac:dyDescent="0.2">
      <c r="A2" t="s">
        <v>6</v>
      </c>
      <c r="B2" t="s">
        <v>0</v>
      </c>
      <c r="D2" t="s">
        <v>1</v>
      </c>
      <c r="E2" s="14" t="s">
        <v>15</v>
      </c>
      <c r="G2" t="s">
        <v>2</v>
      </c>
      <c r="H2" s="14" t="s">
        <v>16</v>
      </c>
      <c r="J2" t="s">
        <v>3</v>
      </c>
      <c r="K2" s="14" t="s">
        <v>17</v>
      </c>
      <c r="M2" t="s">
        <v>4</v>
      </c>
      <c r="N2" s="14" t="s">
        <v>18</v>
      </c>
      <c r="P2" t="s">
        <v>5</v>
      </c>
      <c r="Q2" s="14" t="s">
        <v>19</v>
      </c>
    </row>
    <row r="3" spans="1:23" x14ac:dyDescent="0.2">
      <c r="A3">
        <v>1</v>
      </c>
      <c r="B3" s="2">
        <v>44194</v>
      </c>
      <c r="C3" s="2"/>
      <c r="D3">
        <v>179.27984599999999</v>
      </c>
      <c r="E3" s="14">
        <f t="shared" ref="E3:E34" si="0">D3/D4-1</f>
        <v>2.0463138116730617E-2</v>
      </c>
      <c r="G3">
        <v>43.768875000000001</v>
      </c>
      <c r="H3" s="14">
        <f t="shared" ref="H3:H34" si="1">G3/G4-1</f>
        <v>-3.7844644922768733E-3</v>
      </c>
      <c r="J3">
        <v>45.259998000000003</v>
      </c>
      <c r="K3" s="14">
        <f t="shared" ref="K3:K34" si="2">J3/J4-1</f>
        <v>2.4213600910016009E-2</v>
      </c>
      <c r="M3">
        <v>136.03741500000001</v>
      </c>
      <c r="N3" s="14">
        <f t="shared" ref="N3:N34" si="3">M3/M4-1</f>
        <v>1.9583266094149732E-3</v>
      </c>
      <c r="P3">
        <v>156.09442100000001</v>
      </c>
      <c r="Q3" s="14">
        <f t="shared" ref="Q3:Q34" si="4">P3/P4-1</f>
        <v>2.3512108472585336E-3</v>
      </c>
    </row>
    <row r="4" spans="1:23" x14ac:dyDescent="0.2">
      <c r="A4">
        <f t="shared" ref="A4:A35" si="5">A3+1</f>
        <v>2</v>
      </c>
      <c r="B4" s="1">
        <v>44187</v>
      </c>
      <c r="C4" s="1"/>
      <c r="D4">
        <v>175.68478400000001</v>
      </c>
      <c r="E4" s="14">
        <f t="shared" si="0"/>
        <v>-9.9356574321880498E-3</v>
      </c>
      <c r="G4">
        <v>43.935146000000003</v>
      </c>
      <c r="H4" s="14">
        <f t="shared" si="1"/>
        <v>8.9135645763227522E-4</v>
      </c>
      <c r="J4">
        <v>44.189999</v>
      </c>
      <c r="K4" s="14">
        <f t="shared" si="2"/>
        <v>3.1994371788883758E-2</v>
      </c>
      <c r="M4">
        <v>135.77153000000001</v>
      </c>
      <c r="N4" s="14">
        <f t="shared" si="3"/>
        <v>9.1432686487493697E-3</v>
      </c>
      <c r="P4">
        <v>155.72827100000001</v>
      </c>
      <c r="Q4" s="14">
        <f t="shared" si="4"/>
        <v>3.658311680774684E-3</v>
      </c>
    </row>
    <row r="5" spans="1:23" x14ac:dyDescent="0.2">
      <c r="A5">
        <f t="shared" si="5"/>
        <v>3</v>
      </c>
      <c r="B5" s="1">
        <v>44180</v>
      </c>
      <c r="C5" s="1"/>
      <c r="D5">
        <v>177.447845</v>
      </c>
      <c r="E5" s="14">
        <f t="shared" si="0"/>
        <v>1.1850668666070652E-2</v>
      </c>
      <c r="G5">
        <v>43.896019000000003</v>
      </c>
      <c r="H5" s="14">
        <f t="shared" si="1"/>
        <v>1.4466471430796046E-2</v>
      </c>
      <c r="J5">
        <v>42.82</v>
      </c>
      <c r="K5" s="14">
        <f t="shared" si="2"/>
        <v>0.1136540672651738</v>
      </c>
      <c r="M5">
        <v>134.541382</v>
      </c>
      <c r="N5" s="14">
        <f t="shared" si="3"/>
        <v>-2.1138518250710669E-3</v>
      </c>
      <c r="P5">
        <v>155.16064499999999</v>
      </c>
      <c r="Q5" s="14">
        <f t="shared" si="4"/>
        <v>-8.7161065898684331E-3</v>
      </c>
    </row>
    <row r="6" spans="1:23" x14ac:dyDescent="0.2">
      <c r="A6">
        <f t="shared" si="5"/>
        <v>4</v>
      </c>
      <c r="B6" s="1">
        <v>44173</v>
      </c>
      <c r="C6" s="1"/>
      <c r="D6">
        <v>175.369598</v>
      </c>
      <c r="E6" s="14">
        <f t="shared" si="0"/>
        <v>-3.6932573972807692E-3</v>
      </c>
      <c r="G6">
        <v>43.270054000000002</v>
      </c>
      <c r="H6" s="14">
        <f t="shared" si="1"/>
        <v>-2.4802179187248807E-3</v>
      </c>
      <c r="J6">
        <v>38.450001</v>
      </c>
      <c r="K6" s="14">
        <f t="shared" si="2"/>
        <v>3.2491915548232386E-2</v>
      </c>
      <c r="M6">
        <v>134.82638499999999</v>
      </c>
      <c r="N6" s="14">
        <f t="shared" si="3"/>
        <v>2.4355234072330756E-3</v>
      </c>
      <c r="P6">
        <v>156.524933</v>
      </c>
      <c r="Q6" s="14">
        <f t="shared" si="4"/>
        <v>1.2078320159670586E-2</v>
      </c>
    </row>
    <row r="7" spans="1:23" x14ac:dyDescent="0.2">
      <c r="A7">
        <f t="shared" si="5"/>
        <v>5</v>
      </c>
      <c r="B7" s="1">
        <v>44166</v>
      </c>
      <c r="C7" s="1"/>
      <c r="D7">
        <v>176.01968400000001</v>
      </c>
      <c r="E7" s="14">
        <f t="shared" si="0"/>
        <v>2.9494876455304686E-2</v>
      </c>
      <c r="G7">
        <v>43.37764</v>
      </c>
      <c r="H7" s="14">
        <f t="shared" si="1"/>
        <v>3.0915824613187537E-2</v>
      </c>
      <c r="J7">
        <v>37.240001999999997</v>
      </c>
      <c r="K7" s="14">
        <f t="shared" si="2"/>
        <v>-1.481473584165971E-2</v>
      </c>
      <c r="M7">
        <v>134.49880999999999</v>
      </c>
      <c r="N7" s="14">
        <f t="shared" si="3"/>
        <v>-9.8210060786119158E-3</v>
      </c>
      <c r="P7">
        <v>154.656937</v>
      </c>
      <c r="Q7" s="14">
        <f t="shared" si="4"/>
        <v>-2.1372407160549667E-2</v>
      </c>
    </row>
    <row r="8" spans="1:23" x14ac:dyDescent="0.2">
      <c r="A8">
        <f t="shared" si="5"/>
        <v>6</v>
      </c>
      <c r="B8" s="1">
        <v>44159</v>
      </c>
      <c r="C8" s="1"/>
      <c r="D8">
        <v>170.97674599999999</v>
      </c>
      <c r="E8" s="14">
        <f t="shared" si="0"/>
        <v>-6.8084870219180527E-3</v>
      </c>
      <c r="G8">
        <v>42.076801000000003</v>
      </c>
      <c r="H8" s="14">
        <f t="shared" si="1"/>
        <v>3.314118589169901E-2</v>
      </c>
      <c r="J8">
        <v>37.799999</v>
      </c>
      <c r="K8" s="14">
        <f t="shared" si="2"/>
        <v>1.6949180357771265E-2</v>
      </c>
      <c r="M8">
        <v>135.83282500000001</v>
      </c>
      <c r="N8" s="14">
        <f t="shared" si="3"/>
        <v>5.3723797643348004E-3</v>
      </c>
      <c r="P8">
        <v>158.034515</v>
      </c>
      <c r="Q8" s="14">
        <f t="shared" si="4"/>
        <v>-4.6652299774855299E-3</v>
      </c>
    </row>
    <row r="9" spans="1:23" x14ac:dyDescent="0.2">
      <c r="A9">
        <f t="shared" si="5"/>
        <v>7</v>
      </c>
      <c r="B9" s="1">
        <v>44152</v>
      </c>
      <c r="C9" s="1"/>
      <c r="D9">
        <v>172.148819</v>
      </c>
      <c r="E9" s="14">
        <f t="shared" si="0"/>
        <v>9.1806168646675346E-3</v>
      </c>
      <c r="G9">
        <v>40.727058</v>
      </c>
      <c r="H9" s="14">
        <f t="shared" si="1"/>
        <v>-2.1156586194542082E-2</v>
      </c>
      <c r="J9">
        <v>37.169998</v>
      </c>
      <c r="K9" s="14">
        <f t="shared" si="2"/>
        <v>-2.3640714473338598E-2</v>
      </c>
      <c r="M9">
        <v>135.106979</v>
      </c>
      <c r="N9" s="14">
        <f t="shared" si="3"/>
        <v>1.13068823251401E-2</v>
      </c>
      <c r="P9">
        <v>158.775238</v>
      </c>
      <c r="Q9" s="14">
        <f t="shared" si="4"/>
        <v>1.8950702664527697E-2</v>
      </c>
    </row>
    <row r="10" spans="1:23" x14ac:dyDescent="0.2">
      <c r="A10">
        <f t="shared" si="5"/>
        <v>8</v>
      </c>
      <c r="B10" s="1">
        <v>44145</v>
      </c>
      <c r="C10" s="1"/>
      <c r="D10">
        <v>170.582764</v>
      </c>
      <c r="E10" s="14">
        <f t="shared" si="0"/>
        <v>1.3874244209949316E-2</v>
      </c>
      <c r="G10">
        <v>41.607326999999998</v>
      </c>
      <c r="H10" s="14">
        <f t="shared" si="1"/>
        <v>0.11361267920252383</v>
      </c>
      <c r="J10">
        <v>38.07</v>
      </c>
      <c r="K10" s="14">
        <f t="shared" si="2"/>
        <v>8.4615446416834494E-2</v>
      </c>
      <c r="M10">
        <v>133.59641999999999</v>
      </c>
      <c r="N10" s="14">
        <f t="shared" si="3"/>
        <v>7.6947475649093988E-3</v>
      </c>
      <c r="P10">
        <v>155.82229599999999</v>
      </c>
      <c r="Q10" s="14">
        <f t="shared" si="4"/>
        <v>1.1021372048812594E-2</v>
      </c>
    </row>
    <row r="11" spans="1:23" x14ac:dyDescent="0.2">
      <c r="A11">
        <f t="shared" si="5"/>
        <v>9</v>
      </c>
      <c r="B11" s="1">
        <v>44138</v>
      </c>
      <c r="C11" s="1"/>
      <c r="D11">
        <v>168.24844400000001</v>
      </c>
      <c r="E11" s="14">
        <f t="shared" si="0"/>
        <v>4.6242421193882333E-2</v>
      </c>
      <c r="G11">
        <v>37.362476000000001</v>
      </c>
      <c r="H11" s="14">
        <f t="shared" si="1"/>
        <v>6.4066726232607341E-2</v>
      </c>
      <c r="J11">
        <v>35.099997999999999</v>
      </c>
      <c r="K11" s="14">
        <f t="shared" si="2"/>
        <v>5.9782580307444988E-2</v>
      </c>
      <c r="M11">
        <v>132.576279</v>
      </c>
      <c r="N11" s="14">
        <f t="shared" si="3"/>
        <v>1.1021904620148959E-2</v>
      </c>
      <c r="P11">
        <v>154.12364199999999</v>
      </c>
      <c r="Q11" s="14">
        <f t="shared" si="4"/>
        <v>-1.4834564864365518E-2</v>
      </c>
    </row>
    <row r="12" spans="1:23" x14ac:dyDescent="0.2">
      <c r="A12">
        <f t="shared" si="5"/>
        <v>10</v>
      </c>
      <c r="B12" s="1">
        <v>44131</v>
      </c>
      <c r="C12" s="1"/>
      <c r="D12">
        <v>160.81210300000001</v>
      </c>
      <c r="E12" s="14">
        <f t="shared" si="0"/>
        <v>6.5396052788979642E-3</v>
      </c>
      <c r="G12">
        <v>35.112907</v>
      </c>
      <c r="H12" s="14">
        <f t="shared" si="1"/>
        <v>-4.6986902678059939E-2</v>
      </c>
      <c r="J12">
        <v>33.119999</v>
      </c>
      <c r="K12" s="14">
        <f t="shared" si="2"/>
        <v>-4.3879908887988206E-2</v>
      </c>
      <c r="M12">
        <v>131.130966</v>
      </c>
      <c r="N12" s="14">
        <f t="shared" si="3"/>
        <v>-6.8937786091038955E-3</v>
      </c>
      <c r="P12">
        <v>156.44442699999999</v>
      </c>
      <c r="Q12" s="14">
        <f t="shared" si="4"/>
        <v>-5.6431396545941759E-3</v>
      </c>
    </row>
    <row r="13" spans="1:23" x14ac:dyDescent="0.2">
      <c r="A13">
        <f t="shared" si="5"/>
        <v>11</v>
      </c>
      <c r="B13" s="1">
        <v>44124</v>
      </c>
      <c r="C13" s="1"/>
      <c r="D13">
        <v>159.76728800000001</v>
      </c>
      <c r="E13" s="14">
        <f t="shared" si="0"/>
        <v>-2.5846017584884473E-2</v>
      </c>
      <c r="G13">
        <v>36.844096999999998</v>
      </c>
      <c r="H13" s="14">
        <f t="shared" si="1"/>
        <v>-4.1475783122681853E-2</v>
      </c>
      <c r="J13">
        <v>34.639999000000003</v>
      </c>
      <c r="K13" s="14">
        <f t="shared" si="2"/>
        <v>-8.4082522474880905E-2</v>
      </c>
      <c r="M13">
        <v>132.04122899999999</v>
      </c>
      <c r="N13" s="14">
        <f t="shared" si="3"/>
        <v>-1.3326004798369651E-3</v>
      </c>
      <c r="P13">
        <v>157.33227500000001</v>
      </c>
      <c r="Q13" s="14">
        <f t="shared" si="4"/>
        <v>-8.0857338954867242E-3</v>
      </c>
    </row>
    <row r="14" spans="1:23" x14ac:dyDescent="0.2">
      <c r="A14">
        <f t="shared" si="5"/>
        <v>12</v>
      </c>
      <c r="B14" s="1">
        <v>44117</v>
      </c>
      <c r="C14" s="1"/>
      <c r="D14">
        <v>164.00619499999999</v>
      </c>
      <c r="E14" s="14">
        <f t="shared" si="0"/>
        <v>3.0256238981974715E-2</v>
      </c>
      <c r="G14">
        <v>38.438358000000001</v>
      </c>
      <c r="H14" s="14">
        <f t="shared" si="1"/>
        <v>-2.6263780704020134E-2</v>
      </c>
      <c r="J14">
        <v>37.82</v>
      </c>
      <c r="K14" s="14">
        <f t="shared" si="2"/>
        <v>-2.8263053867577215E-2</v>
      </c>
      <c r="M14">
        <v>132.217422</v>
      </c>
      <c r="N14" s="14">
        <f t="shared" si="3"/>
        <v>-4.6421753227885443E-3</v>
      </c>
      <c r="P14">
        <v>158.61479199999999</v>
      </c>
      <c r="Q14" s="14">
        <f t="shared" si="4"/>
        <v>1.1207404068076521E-3</v>
      </c>
    </row>
    <row r="15" spans="1:23" x14ac:dyDescent="0.2">
      <c r="A15">
        <f t="shared" si="5"/>
        <v>13</v>
      </c>
      <c r="B15" s="1">
        <v>44110</v>
      </c>
      <c r="C15" s="1"/>
      <c r="D15">
        <v>159.18971300000001</v>
      </c>
      <c r="E15" s="14">
        <f t="shared" si="0"/>
        <v>5.9417581090080107E-2</v>
      </c>
      <c r="G15">
        <v>39.475124000000001</v>
      </c>
      <c r="H15" s="14">
        <f t="shared" si="1"/>
        <v>5.6060942778156209E-2</v>
      </c>
      <c r="J15">
        <v>38.919998</v>
      </c>
      <c r="K15" s="14">
        <f t="shared" si="2"/>
        <v>8.1411387529236601E-2</v>
      </c>
      <c r="M15">
        <v>132.83406099999999</v>
      </c>
      <c r="N15" s="14">
        <f t="shared" si="3"/>
        <v>1.2256741368163127E-2</v>
      </c>
      <c r="P15">
        <v>158.43722500000001</v>
      </c>
      <c r="Q15" s="14">
        <f t="shared" si="4"/>
        <v>7.4978125296707443E-3</v>
      </c>
    </row>
    <row r="16" spans="1:23" x14ac:dyDescent="0.2">
      <c r="A16">
        <f t="shared" si="5"/>
        <v>14</v>
      </c>
      <c r="B16" s="1">
        <v>44103</v>
      </c>
      <c r="C16" s="1"/>
      <c r="D16">
        <v>150.26153600000001</v>
      </c>
      <c r="E16" s="14">
        <f t="shared" si="0"/>
        <v>3.9341905337850758E-2</v>
      </c>
      <c r="G16">
        <v>37.379589000000003</v>
      </c>
      <c r="H16" s="14">
        <f t="shared" si="1"/>
        <v>-1.4311286871636852E-2</v>
      </c>
      <c r="J16">
        <v>35.990001999999997</v>
      </c>
      <c r="K16" s="14">
        <f t="shared" si="2"/>
        <v>1.8392812676853332E-2</v>
      </c>
      <c r="M16">
        <v>131.225662</v>
      </c>
      <c r="N16" s="14">
        <f t="shared" si="3"/>
        <v>-4.0028674250369711E-3</v>
      </c>
      <c r="P16">
        <v>157.25813299999999</v>
      </c>
      <c r="Q16" s="14">
        <f t="shared" si="4"/>
        <v>-3.0853376457316339E-2</v>
      </c>
    </row>
    <row r="17" spans="1:17" x14ac:dyDescent="0.2">
      <c r="A17">
        <f t="shared" si="5"/>
        <v>15</v>
      </c>
      <c r="B17" s="1">
        <v>44096</v>
      </c>
      <c r="C17" s="1"/>
      <c r="D17">
        <v>144.57373000000001</v>
      </c>
      <c r="E17" s="14">
        <f t="shared" si="0"/>
        <v>1.6170177101866301E-2</v>
      </c>
      <c r="G17">
        <v>37.922305999999999</v>
      </c>
      <c r="H17" s="14">
        <f t="shared" si="1"/>
        <v>2.3052411641077963E-3</v>
      </c>
      <c r="J17">
        <v>35.340000000000003</v>
      </c>
      <c r="K17" s="14">
        <f t="shared" si="2"/>
        <v>2.8222316794364932E-2</v>
      </c>
      <c r="M17">
        <v>131.753052</v>
      </c>
      <c r="N17" s="14">
        <f t="shared" si="3"/>
        <v>-5.1624642682268629E-3</v>
      </c>
      <c r="P17">
        <v>162.26454200000001</v>
      </c>
      <c r="Q17" s="14">
        <f t="shared" si="4"/>
        <v>1.5208111600193419E-3</v>
      </c>
    </row>
    <row r="18" spans="1:17" x14ac:dyDescent="0.2">
      <c r="A18">
        <f t="shared" si="5"/>
        <v>16</v>
      </c>
      <c r="B18" s="1">
        <v>44089</v>
      </c>
      <c r="C18" s="1"/>
      <c r="D18">
        <v>142.27314799999999</v>
      </c>
      <c r="E18" s="14">
        <f t="shared" si="0"/>
        <v>-5.3286468889696681E-2</v>
      </c>
      <c r="G18">
        <v>37.835087000000001</v>
      </c>
      <c r="H18" s="14">
        <f t="shared" si="1"/>
        <v>-3.2945071534167814E-2</v>
      </c>
      <c r="J18">
        <v>34.369999</v>
      </c>
      <c r="K18" s="14">
        <f t="shared" si="2"/>
        <v>-5.2123527419940974E-2</v>
      </c>
      <c r="M18">
        <v>132.43675200000001</v>
      </c>
      <c r="N18" s="14">
        <f t="shared" si="3"/>
        <v>-8.1046187665689828E-4</v>
      </c>
      <c r="P18">
        <v>162.01814300000001</v>
      </c>
      <c r="Q18" s="14">
        <f t="shared" si="4"/>
        <v>-4.25604431710358E-4</v>
      </c>
    </row>
    <row r="19" spans="1:17" x14ac:dyDescent="0.2">
      <c r="A19">
        <f t="shared" si="5"/>
        <v>17</v>
      </c>
      <c r="B19" s="1">
        <v>44082</v>
      </c>
      <c r="C19" s="1"/>
      <c r="D19">
        <v>150.28109699999999</v>
      </c>
      <c r="E19" s="14">
        <f t="shared" si="0"/>
        <v>3.5969697266537093E-2</v>
      </c>
      <c r="G19">
        <v>39.124031000000002</v>
      </c>
      <c r="H19" s="14">
        <f t="shared" si="1"/>
        <v>-1.1024099860501013E-2</v>
      </c>
      <c r="J19">
        <v>36.259998000000003</v>
      </c>
      <c r="K19" s="14">
        <f t="shared" si="2"/>
        <v>-2.7882065090671926E-2</v>
      </c>
      <c r="M19">
        <v>132.544174</v>
      </c>
      <c r="N19" s="14">
        <f t="shared" si="3"/>
        <v>7.8243608006474119E-3</v>
      </c>
      <c r="P19">
        <v>162.08712800000001</v>
      </c>
      <c r="Q19" s="14">
        <f t="shared" si="4"/>
        <v>1.1771848515326644E-2</v>
      </c>
    </row>
    <row r="20" spans="1:17" x14ac:dyDescent="0.2">
      <c r="A20">
        <f t="shared" si="5"/>
        <v>18</v>
      </c>
      <c r="B20" s="1">
        <v>44075</v>
      </c>
      <c r="C20" s="1"/>
      <c r="D20">
        <v>145.06321700000001</v>
      </c>
      <c r="E20" s="14">
        <f t="shared" si="0"/>
        <v>4.1248123178601048E-2</v>
      </c>
      <c r="G20">
        <v>39.560146000000003</v>
      </c>
      <c r="H20" s="14">
        <f t="shared" si="1"/>
        <v>-3.3159689682554117E-2</v>
      </c>
      <c r="J20">
        <v>37.299999</v>
      </c>
      <c r="K20" s="14">
        <f t="shared" si="2"/>
        <v>-2.6871978770050653E-2</v>
      </c>
      <c r="M20">
        <v>131.515152</v>
      </c>
      <c r="N20" s="14">
        <f t="shared" si="3"/>
        <v>-4.7937233343824381E-3</v>
      </c>
      <c r="P20">
        <v>160.20126300000001</v>
      </c>
      <c r="Q20" s="14">
        <f t="shared" si="4"/>
        <v>3.3912226420447222E-3</v>
      </c>
    </row>
    <row r="21" spans="1:17" x14ac:dyDescent="0.2">
      <c r="A21">
        <f t="shared" si="5"/>
        <v>19</v>
      </c>
      <c r="B21" s="1">
        <v>44068</v>
      </c>
      <c r="C21" s="1"/>
      <c r="D21">
        <v>139.316666</v>
      </c>
      <c r="E21" s="14">
        <f t="shared" si="0"/>
        <v>4.4467297940831152E-3</v>
      </c>
      <c r="G21">
        <v>40.916938999999999</v>
      </c>
      <c r="H21" s="14">
        <f t="shared" si="1"/>
        <v>9.4830556766067886E-4</v>
      </c>
      <c r="J21">
        <v>38.330002</v>
      </c>
      <c r="K21" s="14">
        <f t="shared" si="2"/>
        <v>1.2949312896405774E-2</v>
      </c>
      <c r="M21">
        <v>132.14863600000001</v>
      </c>
      <c r="N21" s="14">
        <f t="shared" si="3"/>
        <v>-4.4782143383615969E-3</v>
      </c>
      <c r="P21">
        <v>159.65982099999999</v>
      </c>
      <c r="Q21" s="14">
        <f t="shared" si="4"/>
        <v>-2.2539621228842122E-2</v>
      </c>
    </row>
    <row r="22" spans="1:17" x14ac:dyDescent="0.2">
      <c r="A22">
        <f t="shared" si="5"/>
        <v>20</v>
      </c>
      <c r="B22" s="1">
        <v>44061</v>
      </c>
      <c r="C22" s="1"/>
      <c r="D22">
        <v>138.699905</v>
      </c>
      <c r="E22" s="14">
        <f t="shared" si="0"/>
        <v>2.1337688196509275E-2</v>
      </c>
      <c r="G22">
        <v>40.878174000000001</v>
      </c>
      <c r="H22" s="14">
        <f t="shared" si="1"/>
        <v>2.1382928777513577E-3</v>
      </c>
      <c r="J22">
        <v>37.840000000000003</v>
      </c>
      <c r="K22" s="14">
        <f t="shared" si="2"/>
        <v>3.4162339437004752E-2</v>
      </c>
      <c r="M22">
        <v>132.743088</v>
      </c>
      <c r="N22" s="14">
        <f t="shared" si="3"/>
        <v>3.8322298241675323E-3</v>
      </c>
      <c r="P22">
        <v>163.341476</v>
      </c>
      <c r="Q22" s="14">
        <f t="shared" si="4"/>
        <v>1.4304155012789588E-2</v>
      </c>
    </row>
    <row r="23" spans="1:17" x14ac:dyDescent="0.2">
      <c r="A23">
        <f t="shared" si="5"/>
        <v>21</v>
      </c>
      <c r="B23" s="1">
        <v>44054</v>
      </c>
      <c r="C23" s="1"/>
      <c r="D23">
        <v>135.8022</v>
      </c>
      <c r="E23" s="14">
        <f t="shared" si="0"/>
        <v>-2.3236074923800754E-2</v>
      </c>
      <c r="G23">
        <v>40.790951</v>
      </c>
      <c r="H23" s="14">
        <f t="shared" si="1"/>
        <v>-0.1181645564721906</v>
      </c>
      <c r="J23">
        <v>36.590000000000003</v>
      </c>
      <c r="K23" s="14">
        <f t="shared" si="2"/>
        <v>5.9044893170619339E-2</v>
      </c>
      <c r="M23">
        <v>132.23632799999999</v>
      </c>
      <c r="N23" s="14">
        <f t="shared" si="3"/>
        <v>-2.0005871383152352E-2</v>
      </c>
      <c r="P23">
        <v>161.03796399999999</v>
      </c>
      <c r="Q23" s="14">
        <f t="shared" si="4"/>
        <v>-3.2698821227940322E-2</v>
      </c>
    </row>
    <row r="24" spans="1:17" x14ac:dyDescent="0.2">
      <c r="A24">
        <f t="shared" si="5"/>
        <v>22</v>
      </c>
      <c r="B24" s="1">
        <v>44047</v>
      </c>
      <c r="C24" s="1"/>
      <c r="D24">
        <v>139.03277600000001</v>
      </c>
      <c r="E24" s="14">
        <f t="shared" si="0"/>
        <v>7.7705127517535111E-2</v>
      </c>
      <c r="G24">
        <v>46.256874000000003</v>
      </c>
      <c r="H24" s="14">
        <f t="shared" si="1"/>
        <v>1.2086388395428749E-2</v>
      </c>
      <c r="J24">
        <v>34.549999</v>
      </c>
      <c r="K24" s="14">
        <f t="shared" si="2"/>
        <v>-3.1398908404760784E-2</v>
      </c>
      <c r="M24">
        <v>134.93583699999999</v>
      </c>
      <c r="N24" s="14">
        <f t="shared" si="3"/>
        <v>3.7316627541443825E-3</v>
      </c>
      <c r="P24">
        <v>166.48172</v>
      </c>
      <c r="Q24" s="14">
        <f t="shared" si="4"/>
        <v>-3.7768781264233553E-3</v>
      </c>
    </row>
    <row r="25" spans="1:17" x14ac:dyDescent="0.2">
      <c r="A25">
        <f t="shared" si="5"/>
        <v>23</v>
      </c>
      <c r="B25" s="1">
        <v>44040</v>
      </c>
      <c r="C25" s="1"/>
      <c r="D25">
        <v>129.00817900000001</v>
      </c>
      <c r="E25" s="14">
        <f t="shared" si="0"/>
        <v>-5.797405585520865E-2</v>
      </c>
      <c r="G25">
        <v>45.704472000000003</v>
      </c>
      <c r="H25" s="14">
        <f t="shared" si="1"/>
        <v>-6.357477586420579E-4</v>
      </c>
      <c r="J25">
        <v>35.669998</v>
      </c>
      <c r="K25" s="14">
        <f t="shared" si="2"/>
        <v>-3.2284399558209387E-2</v>
      </c>
      <c r="M25">
        <v>134.43417400000001</v>
      </c>
      <c r="N25" s="14">
        <f t="shared" si="3"/>
        <v>3.921782351736125E-3</v>
      </c>
      <c r="P25">
        <v>167.11288500000001</v>
      </c>
      <c r="Q25" s="14">
        <f t="shared" si="4"/>
        <v>4.9671618471522905E-3</v>
      </c>
    </row>
    <row r="26" spans="1:17" x14ac:dyDescent="0.2">
      <c r="A26">
        <f t="shared" si="5"/>
        <v>24</v>
      </c>
      <c r="B26" s="1">
        <v>44033</v>
      </c>
      <c r="C26" s="1"/>
      <c r="D26">
        <v>136.947586</v>
      </c>
      <c r="E26" s="14">
        <f t="shared" si="0"/>
        <v>4.6851733033012932E-2</v>
      </c>
      <c r="G26">
        <v>45.733547000000002</v>
      </c>
      <c r="H26" s="14">
        <f t="shared" si="1"/>
        <v>4.6838626147223117E-3</v>
      </c>
      <c r="J26">
        <v>36.860000999999997</v>
      </c>
      <c r="K26" s="14">
        <f t="shared" si="2"/>
        <v>1.879494195688225E-2</v>
      </c>
      <c r="M26">
        <v>133.90901199999999</v>
      </c>
      <c r="N26" s="14">
        <f t="shared" si="3"/>
        <v>0</v>
      </c>
      <c r="P26">
        <v>166.286911</v>
      </c>
      <c r="Q26" s="14">
        <f t="shared" si="4"/>
        <v>1.1483885677825434E-2</v>
      </c>
    </row>
    <row r="27" spans="1:17" x14ac:dyDescent="0.2">
      <c r="A27">
        <f t="shared" si="5"/>
        <v>25</v>
      </c>
      <c r="B27" s="1">
        <v>44026</v>
      </c>
      <c r="C27" s="1"/>
      <c r="D27">
        <v>130.818512</v>
      </c>
      <c r="E27" s="14">
        <f t="shared" si="0"/>
        <v>3.1094700283994081E-2</v>
      </c>
      <c r="G27">
        <v>45.520336</v>
      </c>
      <c r="H27" s="14">
        <f t="shared" si="1"/>
        <v>2.2643110343365525E-2</v>
      </c>
      <c r="J27">
        <v>36.18</v>
      </c>
      <c r="K27" s="14">
        <f t="shared" si="2"/>
        <v>2.3190016312499617E-2</v>
      </c>
      <c r="M27">
        <v>133.90901199999999</v>
      </c>
      <c r="N27" s="14">
        <f t="shared" si="3"/>
        <v>1.6161341659153949E-2</v>
      </c>
      <c r="P27">
        <v>164.39897199999999</v>
      </c>
      <c r="Q27" s="14">
        <f t="shared" si="4"/>
        <v>1.8577203105452078E-3</v>
      </c>
    </row>
    <row r="28" spans="1:17" x14ac:dyDescent="0.2">
      <c r="A28">
        <f t="shared" si="5"/>
        <v>26</v>
      </c>
      <c r="B28" s="1">
        <v>44019</v>
      </c>
      <c r="C28" s="1"/>
      <c r="D28">
        <v>126.87342099999999</v>
      </c>
      <c r="E28" s="14">
        <f t="shared" si="0"/>
        <v>8.8077426574202367E-3</v>
      </c>
      <c r="G28">
        <v>44.512436000000001</v>
      </c>
      <c r="H28" s="14">
        <f t="shared" si="1"/>
        <v>-2.7613999406260747E-3</v>
      </c>
      <c r="J28">
        <v>35.360000999999997</v>
      </c>
      <c r="K28" s="14">
        <f t="shared" si="2"/>
        <v>-7.2646208427846748E-2</v>
      </c>
      <c r="M28">
        <v>131.77928199999999</v>
      </c>
      <c r="N28" s="14">
        <f t="shared" si="3"/>
        <v>3.1245009279978753E-3</v>
      </c>
      <c r="P28">
        <v>164.094131</v>
      </c>
      <c r="Q28" s="14">
        <f t="shared" si="4"/>
        <v>2.5507534393978126E-2</v>
      </c>
    </row>
    <row r="29" spans="1:17" x14ac:dyDescent="0.2">
      <c r="A29">
        <f t="shared" si="5"/>
        <v>27</v>
      </c>
      <c r="B29" s="1">
        <v>44012</v>
      </c>
      <c r="C29" s="1"/>
      <c r="D29">
        <v>125.765709</v>
      </c>
      <c r="E29" s="14">
        <f t="shared" si="0"/>
        <v>3.3373320775766269E-2</v>
      </c>
      <c r="G29">
        <v>44.635693000000003</v>
      </c>
      <c r="H29" s="14">
        <f t="shared" si="1"/>
        <v>5.850382084256589E-3</v>
      </c>
      <c r="J29">
        <v>38.130001</v>
      </c>
      <c r="K29" s="14">
        <f t="shared" si="2"/>
        <v>9.6004596263161934E-2</v>
      </c>
      <c r="M29">
        <v>131.36882</v>
      </c>
      <c r="N29" s="14">
        <f t="shared" si="3"/>
        <v>9.5435032586985713E-3</v>
      </c>
      <c r="P29">
        <v>160.01260400000001</v>
      </c>
      <c r="Q29" s="14">
        <f t="shared" si="4"/>
        <v>-1.0987832282608245E-2</v>
      </c>
    </row>
    <row r="30" spans="1:17" x14ac:dyDescent="0.2">
      <c r="A30">
        <f t="shared" si="5"/>
        <v>28</v>
      </c>
      <c r="B30" s="1">
        <v>44005</v>
      </c>
      <c r="C30" s="1"/>
      <c r="D30">
        <v>121.704041</v>
      </c>
      <c r="E30" s="14">
        <f t="shared" si="0"/>
        <v>-4.2928606519683221E-3</v>
      </c>
      <c r="G30">
        <v>44.376075999999998</v>
      </c>
      <c r="H30" s="14">
        <f t="shared" si="1"/>
        <v>2.1922074706437922E-2</v>
      </c>
      <c r="J30">
        <v>34.790000999999997</v>
      </c>
      <c r="K30" s="14">
        <f t="shared" si="2"/>
        <v>1.7276418082350364E-3</v>
      </c>
      <c r="M30">
        <v>130.12695299999999</v>
      </c>
      <c r="N30" s="14">
        <f t="shared" si="3"/>
        <v>1.9420868841106831E-3</v>
      </c>
      <c r="P30">
        <v>161.79032900000001</v>
      </c>
      <c r="Q30" s="14">
        <f t="shared" si="4"/>
        <v>1.4285008291836654E-2</v>
      </c>
    </row>
    <row r="31" spans="1:17" x14ac:dyDescent="0.2">
      <c r="A31">
        <f t="shared" si="5"/>
        <v>29</v>
      </c>
      <c r="B31" s="1">
        <v>43998</v>
      </c>
      <c r="C31" s="1"/>
      <c r="D31">
        <v>122.228752</v>
      </c>
      <c r="E31" s="14">
        <f t="shared" si="0"/>
        <v>1.7636021289432646E-2</v>
      </c>
      <c r="G31">
        <v>43.424129000000001</v>
      </c>
      <c r="H31" s="14">
        <f t="shared" si="1"/>
        <v>-4.1895737279461498E-3</v>
      </c>
      <c r="J31">
        <v>34.729999999999997</v>
      </c>
      <c r="K31" s="14">
        <f t="shared" si="2"/>
        <v>2.2071806945261896E-2</v>
      </c>
      <c r="M31">
        <v>129.87472500000001</v>
      </c>
      <c r="N31" s="14">
        <f t="shared" si="3"/>
        <v>-2.6819867529163099E-3</v>
      </c>
      <c r="P31">
        <v>159.51170300000001</v>
      </c>
      <c r="Q31" s="14">
        <f t="shared" si="4"/>
        <v>1.230280517814375E-4</v>
      </c>
    </row>
    <row r="32" spans="1:17" x14ac:dyDescent="0.2">
      <c r="A32">
        <f t="shared" si="5"/>
        <v>30</v>
      </c>
      <c r="B32" s="1">
        <v>43991</v>
      </c>
      <c r="C32" s="1"/>
      <c r="D32">
        <v>120.11048099999999</v>
      </c>
      <c r="E32" s="14">
        <f t="shared" si="0"/>
        <v>-0.10245426028530913</v>
      </c>
      <c r="G32">
        <v>43.606822999999999</v>
      </c>
      <c r="H32" s="14">
        <f t="shared" si="1"/>
        <v>-5.77602221125324E-2</v>
      </c>
      <c r="J32">
        <v>33.979999999999997</v>
      </c>
      <c r="K32" s="14">
        <f t="shared" si="2"/>
        <v>-8.8519288855131162E-2</v>
      </c>
      <c r="M32">
        <v>130.223984</v>
      </c>
      <c r="N32" s="14">
        <f t="shared" si="3"/>
        <v>1.1454413512369088E-2</v>
      </c>
      <c r="P32">
        <v>159.49208100000001</v>
      </c>
      <c r="Q32" s="14">
        <f t="shared" si="4"/>
        <v>3.624543543707337E-2</v>
      </c>
    </row>
    <row r="33" spans="1:17" x14ac:dyDescent="0.2">
      <c r="A33">
        <f t="shared" si="5"/>
        <v>31</v>
      </c>
      <c r="B33" s="1">
        <v>43984</v>
      </c>
      <c r="C33" s="1"/>
      <c r="D33">
        <v>133.82101399999999</v>
      </c>
      <c r="E33" s="14">
        <f t="shared" si="0"/>
        <v>0.14290454288815013</v>
      </c>
      <c r="G33">
        <v>46.279964</v>
      </c>
      <c r="H33" s="14">
        <f t="shared" si="1"/>
        <v>3.9524934040204851E-2</v>
      </c>
      <c r="J33">
        <v>37.279998999999997</v>
      </c>
      <c r="K33" s="14">
        <f t="shared" si="2"/>
        <v>9.9380684163963506E-2</v>
      </c>
      <c r="M33">
        <v>128.74923699999999</v>
      </c>
      <c r="N33" s="14">
        <f t="shared" si="3"/>
        <v>1.0516902198164813E-2</v>
      </c>
      <c r="P33">
        <v>153.913422</v>
      </c>
      <c r="Q33" s="14">
        <f t="shared" si="4"/>
        <v>-3.3082202054401155E-2</v>
      </c>
    </row>
    <row r="34" spans="1:17" x14ac:dyDescent="0.2">
      <c r="A34">
        <f t="shared" si="5"/>
        <v>32</v>
      </c>
      <c r="B34" s="1">
        <v>43977</v>
      </c>
      <c r="C34" s="1"/>
      <c r="D34">
        <v>117.088531</v>
      </c>
      <c r="E34" s="14">
        <f t="shared" si="0"/>
        <v>7.1396982579199575E-2</v>
      </c>
      <c r="G34">
        <v>44.520302000000001</v>
      </c>
      <c r="H34" s="14">
        <f t="shared" si="1"/>
        <v>3.1180156374213563E-2</v>
      </c>
      <c r="J34">
        <v>33.909999999999997</v>
      </c>
      <c r="K34" s="14">
        <f t="shared" si="2"/>
        <v>1.6182230032431022E-2</v>
      </c>
      <c r="M34">
        <v>127.40928599999999</v>
      </c>
      <c r="N34" s="14">
        <f t="shared" si="3"/>
        <v>7.1921001989185829E-3</v>
      </c>
      <c r="P34">
        <v>159.179428</v>
      </c>
      <c r="Q34" s="14">
        <f t="shared" si="4"/>
        <v>-1.9752416947412255E-2</v>
      </c>
    </row>
    <row r="35" spans="1:17" x14ac:dyDescent="0.2">
      <c r="A35">
        <f t="shared" si="5"/>
        <v>33</v>
      </c>
      <c r="B35" s="1">
        <v>43970</v>
      </c>
      <c r="C35" s="1"/>
      <c r="D35">
        <v>109.28585099999999</v>
      </c>
      <c r="E35" s="14">
        <f t="shared" ref="E35:E66" si="6">D35/D36-1</f>
        <v>-2.2170182454277376E-2</v>
      </c>
      <c r="G35">
        <v>43.174126000000001</v>
      </c>
      <c r="H35" s="14">
        <f t="shared" ref="H35:H66" si="7">G35/G36-1</f>
        <v>-3.5506626216429416E-3</v>
      </c>
      <c r="J35">
        <v>33.369999</v>
      </c>
      <c r="K35" s="14">
        <f t="shared" ref="K35:K66" si="8">J35/J36-1</f>
        <v>-6.2538114202613793E-3</v>
      </c>
      <c r="M35">
        <v>126.499489</v>
      </c>
      <c r="N35" s="14">
        <f t="shared" ref="N35:N66" si="9">M35/M36-1</f>
        <v>1.0983941338334802E-2</v>
      </c>
      <c r="P35">
        <v>162.38696300000001</v>
      </c>
      <c r="Q35" s="14">
        <f t="shared" ref="Q35:Q66" si="10">P35/P36-1</f>
        <v>1.5332755476745508E-2</v>
      </c>
    </row>
    <row r="36" spans="1:17" x14ac:dyDescent="0.2">
      <c r="A36">
        <f t="shared" ref="A36:A67" si="11">A35+1</f>
        <v>34</v>
      </c>
      <c r="B36" s="1">
        <v>43963</v>
      </c>
      <c r="C36" s="1"/>
      <c r="D36">
        <v>111.763672</v>
      </c>
      <c r="E36" s="14">
        <f t="shared" si="6"/>
        <v>5.9018550039175999E-2</v>
      </c>
      <c r="G36">
        <v>43.327969000000003</v>
      </c>
      <c r="H36" s="14">
        <f t="shared" si="7"/>
        <v>4.0166247147691125E-2</v>
      </c>
      <c r="J36">
        <v>33.580002</v>
      </c>
      <c r="K36" s="14">
        <f t="shared" si="8"/>
        <v>7.3872785417332887E-2</v>
      </c>
      <c r="M36">
        <v>125.125122</v>
      </c>
      <c r="N36" s="14">
        <f t="shared" si="9"/>
        <v>2.9709211142949776E-2</v>
      </c>
      <c r="P36">
        <v>159.93472299999999</v>
      </c>
      <c r="Q36" s="14">
        <f t="shared" si="10"/>
        <v>2.1513567289361823E-3</v>
      </c>
    </row>
    <row r="37" spans="1:17" x14ac:dyDescent="0.2">
      <c r="A37">
        <f t="shared" si="11"/>
        <v>35</v>
      </c>
      <c r="B37" s="1">
        <v>43956</v>
      </c>
      <c r="C37" s="1"/>
      <c r="D37">
        <v>105.535141</v>
      </c>
      <c r="E37" s="14">
        <f t="shared" si="6"/>
        <v>8.2621303392906853E-3</v>
      </c>
      <c r="G37">
        <v>41.654850000000003</v>
      </c>
      <c r="H37" s="14">
        <f t="shared" si="7"/>
        <v>4.7642068748806388E-2</v>
      </c>
      <c r="J37">
        <v>31.27</v>
      </c>
      <c r="K37" s="14">
        <f t="shared" si="8"/>
        <v>-5.0986371745481929E-2</v>
      </c>
      <c r="M37">
        <v>121.515007</v>
      </c>
      <c r="N37" s="14">
        <f t="shared" si="9"/>
        <v>-2.0835324156349366E-2</v>
      </c>
      <c r="P37">
        <v>159.591385</v>
      </c>
      <c r="Q37" s="14">
        <f t="shared" si="10"/>
        <v>-2.5418553877682104E-2</v>
      </c>
    </row>
    <row r="38" spans="1:17" x14ac:dyDescent="0.2">
      <c r="A38">
        <f t="shared" si="11"/>
        <v>36</v>
      </c>
      <c r="B38" s="1">
        <v>43949</v>
      </c>
      <c r="C38" s="1"/>
      <c r="D38">
        <v>104.67034099999999</v>
      </c>
      <c r="E38" s="14">
        <f t="shared" si="6"/>
        <v>-6.4930565134221463E-2</v>
      </c>
      <c r="G38">
        <v>39.760573999999998</v>
      </c>
      <c r="H38" s="14">
        <f t="shared" si="7"/>
        <v>-3.9712066553755587E-2</v>
      </c>
      <c r="J38">
        <v>32.950001</v>
      </c>
      <c r="K38" s="14">
        <f t="shared" si="8"/>
        <v>-5.4519285768682035E-2</v>
      </c>
      <c r="M38">
        <v>124.100685</v>
      </c>
      <c r="N38" s="14">
        <f t="shared" si="9"/>
        <v>-2.4060851703201491E-3</v>
      </c>
      <c r="P38">
        <v>163.75376900000001</v>
      </c>
      <c r="Q38" s="14">
        <f t="shared" si="10"/>
        <v>-2.9822898842974954E-3</v>
      </c>
    </row>
    <row r="39" spans="1:17" x14ac:dyDescent="0.2">
      <c r="A39">
        <f t="shared" si="11"/>
        <v>37</v>
      </c>
      <c r="B39" s="1">
        <v>43942</v>
      </c>
      <c r="C39" s="1"/>
      <c r="D39">
        <v>111.938576</v>
      </c>
      <c r="E39" s="14">
        <f t="shared" si="6"/>
        <v>1.4464688703009765E-2</v>
      </c>
      <c r="G39">
        <v>41.404845999999999</v>
      </c>
      <c r="H39" s="14">
        <f t="shared" si="7"/>
        <v>1.2223762789900006E-2</v>
      </c>
      <c r="J39">
        <v>34.849997999999999</v>
      </c>
      <c r="K39" s="14">
        <f t="shared" si="8"/>
        <v>6.542338934342351E-2</v>
      </c>
      <c r="M39">
        <v>124.400002</v>
      </c>
      <c r="N39" s="14">
        <f t="shared" si="9"/>
        <v>-7.4719489157628605E-3</v>
      </c>
      <c r="P39">
        <v>164.24359100000001</v>
      </c>
      <c r="Q39" s="14">
        <f t="shared" si="10"/>
        <v>-8.8672698262989291E-3</v>
      </c>
    </row>
    <row r="40" spans="1:17" x14ac:dyDescent="0.2">
      <c r="A40">
        <f t="shared" si="11"/>
        <v>38</v>
      </c>
      <c r="B40" s="1">
        <v>43935</v>
      </c>
      <c r="C40" s="1"/>
      <c r="D40">
        <v>110.342506</v>
      </c>
      <c r="E40" s="14">
        <f t="shared" si="6"/>
        <v>4.0299869302540259E-3</v>
      </c>
      <c r="G40">
        <v>40.904834999999999</v>
      </c>
      <c r="H40" s="14">
        <f t="shared" si="7"/>
        <v>3.202327787658632E-2</v>
      </c>
      <c r="J40">
        <v>32.709999000000003</v>
      </c>
      <c r="K40" s="14">
        <f t="shared" si="8"/>
        <v>8.7433477393617176E-2</v>
      </c>
      <c r="M40">
        <v>125.33651</v>
      </c>
      <c r="N40" s="14">
        <f t="shared" si="9"/>
        <v>-5.5916596854888034E-3</v>
      </c>
      <c r="P40">
        <v>165.71301299999999</v>
      </c>
      <c r="Q40" s="14">
        <f t="shared" si="10"/>
        <v>3.2218600079024329E-2</v>
      </c>
    </row>
    <row r="41" spans="1:17" x14ac:dyDescent="0.2">
      <c r="A41">
        <f t="shared" si="11"/>
        <v>39</v>
      </c>
      <c r="B41" s="1">
        <v>43928</v>
      </c>
      <c r="C41" s="1"/>
      <c r="D41">
        <v>109.899612</v>
      </c>
      <c r="E41" s="14">
        <f t="shared" si="6"/>
        <v>-5.2229505151754507E-2</v>
      </c>
      <c r="G41">
        <v>39.635573999999998</v>
      </c>
      <c r="H41" s="14">
        <f t="shared" si="7"/>
        <v>4.364277787400006E-3</v>
      </c>
      <c r="J41">
        <v>30.08</v>
      </c>
      <c r="K41" s="14">
        <f t="shared" si="8"/>
        <v>3.4032313509797074E-2</v>
      </c>
      <c r="M41">
        <v>126.04129</v>
      </c>
      <c r="N41" s="14">
        <f t="shared" si="9"/>
        <v>5.983076095347295E-2</v>
      </c>
      <c r="P41">
        <v>160.54061899999999</v>
      </c>
      <c r="Q41" s="14">
        <f t="shared" si="10"/>
        <v>-2.3463097336466787E-2</v>
      </c>
    </row>
    <row r="42" spans="1:17" x14ac:dyDescent="0.2">
      <c r="A42">
        <f t="shared" si="11"/>
        <v>40</v>
      </c>
      <c r="B42" s="1">
        <v>43921</v>
      </c>
      <c r="C42" s="1"/>
      <c r="D42">
        <v>115.955933</v>
      </c>
      <c r="E42" s="14">
        <f t="shared" si="6"/>
        <v>7.8059307669570366E-2</v>
      </c>
      <c r="G42">
        <v>39.463344999999997</v>
      </c>
      <c r="H42" s="14">
        <f t="shared" si="7"/>
        <v>2.752984147047921E-2</v>
      </c>
      <c r="J42">
        <v>29.09</v>
      </c>
      <c r="K42" s="14">
        <f t="shared" si="8"/>
        <v>1.9628425530023641E-2</v>
      </c>
      <c r="M42">
        <v>118.925865</v>
      </c>
      <c r="N42" s="14">
        <f t="shared" si="9"/>
        <v>-3.4700525048683151E-3</v>
      </c>
      <c r="P42">
        <v>164.39790300000001</v>
      </c>
      <c r="Q42" s="14">
        <f t="shared" si="10"/>
        <v>1.0461582341435127E-2</v>
      </c>
    </row>
    <row r="43" spans="1:17" x14ac:dyDescent="0.2">
      <c r="A43">
        <f t="shared" si="11"/>
        <v>41</v>
      </c>
      <c r="B43" s="1">
        <v>43914</v>
      </c>
      <c r="C43" s="1"/>
      <c r="D43">
        <v>107.559883</v>
      </c>
      <c r="E43" s="14">
        <f t="shared" si="6"/>
        <v>0.21622210247941998</v>
      </c>
      <c r="G43">
        <v>38.406033000000001</v>
      </c>
      <c r="H43" s="14">
        <f t="shared" si="7"/>
        <v>0.16531792191642358</v>
      </c>
      <c r="J43">
        <v>28.530000999999999</v>
      </c>
      <c r="K43" s="14">
        <f t="shared" si="8"/>
        <v>0.12367082015245456</v>
      </c>
      <c r="M43">
        <v>119.33998099999999</v>
      </c>
      <c r="N43" s="14">
        <f t="shared" si="9"/>
        <v>8.1043372429021598E-2</v>
      </c>
      <c r="P43">
        <v>162.69584699999999</v>
      </c>
      <c r="Q43" s="14">
        <f t="shared" si="10"/>
        <v>1.9279445526434458E-3</v>
      </c>
    </row>
    <row r="44" spans="1:17" x14ac:dyDescent="0.2">
      <c r="A44">
        <f t="shared" si="11"/>
        <v>42</v>
      </c>
      <c r="B44" s="1">
        <v>43907</v>
      </c>
      <c r="C44" s="1"/>
      <c r="D44">
        <v>88.437697999999997</v>
      </c>
      <c r="E44" s="14">
        <f t="shared" si="6"/>
        <v>-1.6700570291823147E-2</v>
      </c>
      <c r="G44">
        <v>32.957557999999999</v>
      </c>
      <c r="H44" s="14">
        <f t="shared" si="7"/>
        <v>2.640165437312203E-2</v>
      </c>
      <c r="J44">
        <v>25.389999</v>
      </c>
      <c r="K44" s="14">
        <f t="shared" si="8"/>
        <v>-5.1550280164363138E-2</v>
      </c>
      <c r="M44">
        <v>110.393333</v>
      </c>
      <c r="N44" s="14">
        <f t="shared" si="9"/>
        <v>-5.4987616465578815E-2</v>
      </c>
      <c r="P44">
        <v>162.38278199999999</v>
      </c>
      <c r="Q44" s="14">
        <f t="shared" si="10"/>
        <v>1.2750748810259616E-2</v>
      </c>
    </row>
    <row r="45" spans="1:17" x14ac:dyDescent="0.2">
      <c r="A45">
        <f t="shared" si="11"/>
        <v>43</v>
      </c>
      <c r="B45" s="1">
        <v>43900</v>
      </c>
      <c r="C45" s="1"/>
      <c r="D45">
        <v>89.939743000000007</v>
      </c>
      <c r="E45" s="14">
        <f t="shared" si="6"/>
        <v>-0.10243109736844103</v>
      </c>
      <c r="G45">
        <v>32.109805999999999</v>
      </c>
      <c r="H45" s="14">
        <f t="shared" si="7"/>
        <v>-0.1119599828110257</v>
      </c>
      <c r="J45">
        <v>26.77</v>
      </c>
      <c r="K45" s="14">
        <f t="shared" si="8"/>
        <v>-0.28670395115118441</v>
      </c>
      <c r="M45">
        <v>116.816811</v>
      </c>
      <c r="N45" s="14">
        <f t="shared" si="9"/>
        <v>-7.4116398032485598E-2</v>
      </c>
      <c r="P45">
        <v>160.338348</v>
      </c>
      <c r="Q45" s="14">
        <f t="shared" si="10"/>
        <v>-4.3084773166202073E-2</v>
      </c>
    </row>
    <row r="46" spans="1:17" x14ac:dyDescent="0.2">
      <c r="A46">
        <f t="shared" si="11"/>
        <v>44</v>
      </c>
      <c r="B46" s="1">
        <v>43893</v>
      </c>
      <c r="C46" s="1"/>
      <c r="D46">
        <v>100.20372</v>
      </c>
      <c r="E46" s="14">
        <f t="shared" si="6"/>
        <v>-0.18440430556680365</v>
      </c>
      <c r="G46">
        <v>36.158062000000001</v>
      </c>
      <c r="H46" s="14">
        <f t="shared" si="7"/>
        <v>-7.7969247963295518E-2</v>
      </c>
      <c r="J46">
        <v>37.529998999999997</v>
      </c>
      <c r="K46" s="14">
        <f t="shared" si="8"/>
        <v>-0.11818613444111536</v>
      </c>
      <c r="M46">
        <v>126.167923</v>
      </c>
      <c r="N46" s="14">
        <f t="shared" si="9"/>
        <v>-2.6059236586417622E-3</v>
      </c>
      <c r="P46">
        <v>167.557526</v>
      </c>
      <c r="Q46" s="14">
        <f t="shared" si="10"/>
        <v>0.11434909513264735</v>
      </c>
    </row>
    <row r="47" spans="1:17" x14ac:dyDescent="0.2">
      <c r="A47">
        <f t="shared" si="11"/>
        <v>45</v>
      </c>
      <c r="B47" s="1">
        <v>43886</v>
      </c>
      <c r="C47" s="1"/>
      <c r="D47">
        <v>122.85955</v>
      </c>
      <c r="E47" s="14">
        <f t="shared" si="6"/>
        <v>-3.4576700054305465E-2</v>
      </c>
      <c r="G47">
        <v>39.215679000000002</v>
      </c>
      <c r="H47" s="14">
        <f t="shared" si="7"/>
        <v>-6.4318311323143806E-2</v>
      </c>
      <c r="J47">
        <v>42.560001</v>
      </c>
      <c r="K47" s="14">
        <f t="shared" si="8"/>
        <v>-1.173433438783511E-3</v>
      </c>
      <c r="M47">
        <v>126.49756600000001</v>
      </c>
      <c r="N47" s="14">
        <f t="shared" si="9"/>
        <v>-5.3089028147934592E-4</v>
      </c>
      <c r="P47">
        <v>150.363586</v>
      </c>
      <c r="Q47" s="14">
        <f t="shared" si="10"/>
        <v>2.4559110077024826E-2</v>
      </c>
    </row>
    <row r="48" spans="1:17" x14ac:dyDescent="0.2">
      <c r="A48">
        <f t="shared" si="11"/>
        <v>46</v>
      </c>
      <c r="B48" s="1">
        <v>43879</v>
      </c>
      <c r="C48" s="1"/>
      <c r="D48">
        <v>127.259773</v>
      </c>
      <c r="E48" s="14">
        <f t="shared" si="6"/>
        <v>-4.2176975904513636E-2</v>
      </c>
      <c r="G48">
        <v>41.911346000000002</v>
      </c>
      <c r="H48" s="14">
        <f t="shared" si="7"/>
        <v>-6.3231811277334349E-2</v>
      </c>
      <c r="J48">
        <v>42.610000999999997</v>
      </c>
      <c r="K48" s="14">
        <f t="shared" si="8"/>
        <v>2.724206846673094E-2</v>
      </c>
      <c r="M48">
        <v>126.564758</v>
      </c>
      <c r="N48" s="14">
        <f t="shared" si="9"/>
        <v>6.0310550334179425E-3</v>
      </c>
      <c r="P48">
        <v>146.759308</v>
      </c>
      <c r="Q48" s="14">
        <f t="shared" si="10"/>
        <v>3.9433109377032149E-2</v>
      </c>
    </row>
    <row r="49" spans="1:17" x14ac:dyDescent="0.2">
      <c r="A49">
        <f t="shared" si="11"/>
        <v>47</v>
      </c>
      <c r="B49" s="1">
        <v>43872</v>
      </c>
      <c r="C49" s="1"/>
      <c r="D49">
        <v>132.86355599999999</v>
      </c>
      <c r="E49" s="14">
        <f t="shared" si="6"/>
        <v>2.7322601267087965E-2</v>
      </c>
      <c r="G49">
        <v>44.740360000000003</v>
      </c>
      <c r="H49" s="14">
        <f t="shared" si="7"/>
        <v>-3.8878718619529851E-2</v>
      </c>
      <c r="J49">
        <v>41.48</v>
      </c>
      <c r="K49" s="14">
        <f t="shared" si="8"/>
        <v>-9.3145213593150977E-3</v>
      </c>
      <c r="M49">
        <v>125.806015</v>
      </c>
      <c r="N49" s="14">
        <f t="shared" si="9"/>
        <v>-1.5225093433601788E-4</v>
      </c>
      <c r="P49">
        <v>141.19168099999999</v>
      </c>
      <c r="Q49" s="14">
        <f t="shared" si="10"/>
        <v>-1.9335425296440611E-3</v>
      </c>
    </row>
    <row r="50" spans="1:17" x14ac:dyDescent="0.2">
      <c r="A50">
        <f t="shared" si="11"/>
        <v>48</v>
      </c>
      <c r="B50" s="1">
        <v>43865</v>
      </c>
      <c r="C50" s="1"/>
      <c r="D50">
        <v>129.329926</v>
      </c>
      <c r="E50" s="14">
        <f t="shared" si="6"/>
        <v>3.5062243347154132E-2</v>
      </c>
      <c r="G50">
        <v>46.550170999999999</v>
      </c>
      <c r="H50" s="14">
        <f t="shared" si="7"/>
        <v>5.0290381096972592E-2</v>
      </c>
      <c r="J50">
        <v>41.869999</v>
      </c>
      <c r="K50" s="14">
        <f t="shared" si="8"/>
        <v>4.0248422360248393E-2</v>
      </c>
      <c r="M50">
        <v>125.82517199999999</v>
      </c>
      <c r="N50" s="14">
        <f t="shared" si="9"/>
        <v>5.2631937627796166E-3</v>
      </c>
      <c r="P50">
        <v>141.46521000000001</v>
      </c>
      <c r="Q50" s="14">
        <f t="shared" si="10"/>
        <v>-3.225327363878483E-3</v>
      </c>
    </row>
    <row r="51" spans="1:17" x14ac:dyDescent="0.2">
      <c r="A51">
        <f t="shared" si="11"/>
        <v>49</v>
      </c>
      <c r="B51" s="1">
        <v>43858</v>
      </c>
      <c r="C51" s="1"/>
      <c r="D51">
        <v>124.948936</v>
      </c>
      <c r="E51" s="14">
        <f t="shared" si="6"/>
        <v>-4.3910807374576533E-2</v>
      </c>
      <c r="G51">
        <v>44.321238999999998</v>
      </c>
      <c r="H51" s="14">
        <f t="shared" si="7"/>
        <v>-1.9802141358405301E-2</v>
      </c>
      <c r="J51">
        <v>40.25</v>
      </c>
      <c r="K51" s="14">
        <f t="shared" si="8"/>
        <v>-9.4691837487445807E-2</v>
      </c>
      <c r="M51">
        <v>125.166397</v>
      </c>
      <c r="N51" s="14">
        <f t="shared" si="9"/>
        <v>2.5318402128577944E-3</v>
      </c>
      <c r="P51">
        <v>141.92295799999999</v>
      </c>
      <c r="Q51" s="14">
        <f t="shared" si="10"/>
        <v>8.6634294826870573E-3</v>
      </c>
    </row>
    <row r="52" spans="1:17" x14ac:dyDescent="0.2">
      <c r="A52">
        <f t="shared" si="11"/>
        <v>50</v>
      </c>
      <c r="B52" s="1">
        <v>43851</v>
      </c>
      <c r="C52" s="1"/>
      <c r="D52">
        <v>130.68753100000001</v>
      </c>
      <c r="E52" s="14">
        <f t="shared" si="6"/>
        <v>-7.5097565815899991E-2</v>
      </c>
      <c r="G52">
        <v>45.216625000000001</v>
      </c>
      <c r="H52" s="14">
        <f t="shared" si="7"/>
        <v>-3.1619739872619568E-2</v>
      </c>
      <c r="J52">
        <v>44.459999000000003</v>
      </c>
      <c r="K52" s="14">
        <f t="shared" si="8"/>
        <v>-2.1351551837992422E-2</v>
      </c>
      <c r="M52">
        <v>124.850296</v>
      </c>
      <c r="N52" s="14">
        <f t="shared" si="9"/>
        <v>1.0311055626809784E-2</v>
      </c>
      <c r="P52">
        <v>140.703979</v>
      </c>
      <c r="Q52" s="14">
        <f t="shared" si="10"/>
        <v>4.5428031901489474E-2</v>
      </c>
    </row>
    <row r="53" spans="1:17" x14ac:dyDescent="0.2">
      <c r="A53">
        <f t="shared" si="11"/>
        <v>51</v>
      </c>
      <c r="B53" s="1">
        <v>43844</v>
      </c>
      <c r="C53" s="1"/>
      <c r="D53">
        <v>141.298721</v>
      </c>
      <c r="E53" s="14">
        <f t="shared" si="6"/>
        <v>6.5386926734876116E-3</v>
      </c>
      <c r="G53">
        <v>46.693047</v>
      </c>
      <c r="H53" s="14">
        <f t="shared" si="7"/>
        <v>2.1888678960774843E-2</v>
      </c>
      <c r="J53">
        <v>45.43</v>
      </c>
      <c r="K53" s="14">
        <f t="shared" si="8"/>
        <v>-8.6466921375427219E-2</v>
      </c>
      <c r="M53">
        <v>123.57609600000001</v>
      </c>
      <c r="N53" s="14">
        <f t="shared" si="9"/>
        <v>4.6731786688838373E-3</v>
      </c>
      <c r="P53">
        <v>134.58982800000001</v>
      </c>
      <c r="Q53" s="14">
        <f t="shared" si="10"/>
        <v>0</v>
      </c>
    </row>
    <row r="54" spans="1:17" x14ac:dyDescent="0.2">
      <c r="A54">
        <f t="shared" si="11"/>
        <v>52</v>
      </c>
      <c r="B54" s="1">
        <v>43837</v>
      </c>
      <c r="C54" s="1"/>
      <c r="D54">
        <v>140.38081399999999</v>
      </c>
      <c r="E54" s="14">
        <f t="shared" si="6"/>
        <v>-1.0246742265572317E-2</v>
      </c>
      <c r="G54">
        <v>45.692889999999998</v>
      </c>
      <c r="H54" s="14">
        <f t="shared" si="7"/>
        <v>1.0933967575917913E-2</v>
      </c>
      <c r="J54">
        <v>49.73</v>
      </c>
      <c r="K54" s="14">
        <f t="shared" si="8"/>
        <v>-8.0096206435512296E-2</v>
      </c>
      <c r="M54">
        <v>123.001289</v>
      </c>
      <c r="N54" s="14">
        <f t="shared" si="9"/>
        <v>1.1697039585234492E-3</v>
      </c>
      <c r="P54">
        <v>134.58982800000001</v>
      </c>
      <c r="Q54" s="14">
        <f t="shared" si="10"/>
        <v>-2.2409908006486567E-3</v>
      </c>
    </row>
    <row r="55" spans="1:17" x14ac:dyDescent="0.2">
      <c r="A55">
        <f t="shared" si="11"/>
        <v>53</v>
      </c>
      <c r="B55" s="1">
        <v>43830</v>
      </c>
      <c r="C55" s="1"/>
      <c r="D55">
        <v>141.83415199999999</v>
      </c>
      <c r="E55" s="14">
        <f t="shared" si="6"/>
        <v>5.5582781489444955E-3</v>
      </c>
      <c r="G55">
        <v>45.198689000000002</v>
      </c>
      <c r="H55" s="14">
        <f t="shared" si="7"/>
        <v>4.4128335594550983E-3</v>
      </c>
      <c r="J55">
        <v>54.060001</v>
      </c>
      <c r="K55" s="14">
        <f t="shared" si="8"/>
        <v>3.4245284101779072E-2</v>
      </c>
      <c r="M55">
        <v>122.85758199999999</v>
      </c>
      <c r="N55" s="14">
        <f t="shared" si="9"/>
        <v>-1.9456999032926303E-3</v>
      </c>
      <c r="P55">
        <v>134.89212000000001</v>
      </c>
      <c r="Q55" s="14">
        <f t="shared" si="10"/>
        <v>1.1036289388890896E-2</v>
      </c>
    </row>
    <row r="56" spans="1:17" x14ac:dyDescent="0.2">
      <c r="A56">
        <f t="shared" si="11"/>
        <v>54</v>
      </c>
      <c r="B56" s="1">
        <v>43823</v>
      </c>
      <c r="C56" s="1"/>
      <c r="D56">
        <v>141.05015599999999</v>
      </c>
      <c r="E56" s="14">
        <f t="shared" si="6"/>
        <v>-6.5990555186700162E-3</v>
      </c>
      <c r="G56">
        <v>45.000110999999997</v>
      </c>
      <c r="H56" s="14">
        <f t="shared" si="7"/>
        <v>-1.0603011571892695E-2</v>
      </c>
      <c r="J56">
        <v>52.27</v>
      </c>
      <c r="K56" s="14">
        <f t="shared" si="8"/>
        <v>-3.8250142699358669E-4</v>
      </c>
      <c r="M56">
        <v>123.097092</v>
      </c>
      <c r="N56" s="14">
        <f t="shared" si="9"/>
        <v>8.6783623350372707E-3</v>
      </c>
      <c r="P56">
        <v>133.41966199999999</v>
      </c>
      <c r="Q56" s="14">
        <f t="shared" si="10"/>
        <v>4.3158819168731544E-3</v>
      </c>
    </row>
    <row r="57" spans="1:17" x14ac:dyDescent="0.2">
      <c r="A57">
        <f t="shared" si="11"/>
        <v>55</v>
      </c>
      <c r="B57" s="1">
        <v>43816</v>
      </c>
      <c r="C57" s="1"/>
      <c r="D57">
        <v>141.98713699999999</v>
      </c>
      <c r="E57" s="14">
        <f t="shared" si="6"/>
        <v>2.1601328299893474E-2</v>
      </c>
      <c r="G57">
        <v>45.482360999999997</v>
      </c>
      <c r="H57" s="14">
        <f t="shared" si="7"/>
        <v>4.6107075967397382E-2</v>
      </c>
      <c r="J57">
        <v>52.290000999999997</v>
      </c>
      <c r="K57" s="14">
        <f t="shared" si="8"/>
        <v>-2.8247537107460752E-2</v>
      </c>
      <c r="M57">
        <v>122.03800200000001</v>
      </c>
      <c r="N57" s="14">
        <f t="shared" si="9"/>
        <v>-2.9664032493565973E-3</v>
      </c>
      <c r="P57">
        <v>132.84631300000001</v>
      </c>
      <c r="Q57" s="14">
        <f t="shared" si="10"/>
        <v>-9.7245068805520418E-3</v>
      </c>
    </row>
    <row r="58" spans="1:17" x14ac:dyDescent="0.2">
      <c r="A58">
        <f t="shared" si="11"/>
        <v>56</v>
      </c>
      <c r="B58" s="1">
        <v>43809</v>
      </c>
      <c r="C58" s="1"/>
      <c r="D58">
        <v>138.98487900000001</v>
      </c>
      <c r="E58" s="14">
        <f t="shared" si="6"/>
        <v>1.771345783095124E-2</v>
      </c>
      <c r="G58">
        <v>43.477730000000001</v>
      </c>
      <c r="H58" s="14">
        <f t="shared" si="7"/>
        <v>4.7380216676893294E-2</v>
      </c>
      <c r="J58">
        <v>53.810001</v>
      </c>
      <c r="K58" s="14">
        <f t="shared" si="8"/>
        <v>-3.1148721081225683E-2</v>
      </c>
      <c r="M58">
        <v>122.401093</v>
      </c>
      <c r="N58" s="14">
        <f t="shared" si="9"/>
        <v>3.5254337150643078E-3</v>
      </c>
      <c r="P58">
        <v>134.15086400000001</v>
      </c>
      <c r="Q58" s="14">
        <f t="shared" si="10"/>
        <v>-6.2027292334581041E-3</v>
      </c>
    </row>
    <row r="59" spans="1:17" x14ac:dyDescent="0.2">
      <c r="A59">
        <f t="shared" si="11"/>
        <v>57</v>
      </c>
      <c r="B59" s="1">
        <v>43802</v>
      </c>
      <c r="C59" s="1"/>
      <c r="D59">
        <v>136.56582599999999</v>
      </c>
      <c r="E59" s="14">
        <f t="shared" si="6"/>
        <v>-9.0923184500513177E-4</v>
      </c>
      <c r="G59">
        <v>41.510933000000001</v>
      </c>
      <c r="H59" s="14">
        <f t="shared" si="7"/>
        <v>-1.7897057530988136E-2</v>
      </c>
      <c r="J59">
        <v>55.540000999999997</v>
      </c>
      <c r="K59" s="14">
        <f t="shared" si="8"/>
        <v>-1.820751281598032E-2</v>
      </c>
      <c r="M59">
        <v>121.971092</v>
      </c>
      <c r="N59" s="14">
        <f t="shared" si="9"/>
        <v>7.2880440521758683E-3</v>
      </c>
      <c r="P59">
        <v>134.988159</v>
      </c>
      <c r="Q59" s="14">
        <f t="shared" si="10"/>
        <v>4.1816153761458086E-3</v>
      </c>
    </row>
    <row r="60" spans="1:17" x14ac:dyDescent="0.2">
      <c r="A60">
        <f t="shared" si="11"/>
        <v>58</v>
      </c>
      <c r="B60" s="1">
        <v>43795</v>
      </c>
      <c r="C60" s="1"/>
      <c r="D60">
        <v>136.69010900000001</v>
      </c>
      <c r="E60" s="14">
        <f t="shared" si="6"/>
        <v>-2.3630801507185883E-2</v>
      </c>
      <c r="G60">
        <v>42.267395</v>
      </c>
      <c r="H60" s="14">
        <f t="shared" si="7"/>
        <v>-1.6501616298999044E-2</v>
      </c>
      <c r="J60">
        <v>56.57</v>
      </c>
      <c r="K60" s="14">
        <f t="shared" si="8"/>
        <v>-3.0837742519063571E-2</v>
      </c>
      <c r="M60">
        <v>121.088593</v>
      </c>
      <c r="N60" s="14">
        <f t="shared" si="9"/>
        <v>-6.5673071473607569E-3</v>
      </c>
      <c r="P60">
        <v>134.426041</v>
      </c>
      <c r="Q60" s="14">
        <f t="shared" si="10"/>
        <v>-1.425400765614937E-2</v>
      </c>
    </row>
    <row r="61" spans="1:17" x14ac:dyDescent="0.2">
      <c r="A61">
        <f t="shared" si="11"/>
        <v>59</v>
      </c>
      <c r="B61" s="1">
        <v>43788</v>
      </c>
      <c r="C61" s="1"/>
      <c r="D61">
        <v>139.99838299999999</v>
      </c>
      <c r="E61" s="14">
        <f t="shared" si="6"/>
        <v>1.9708921309144145E-2</v>
      </c>
      <c r="G61">
        <v>42.976578000000003</v>
      </c>
      <c r="H61" s="14">
        <f t="shared" si="7"/>
        <v>6.6445705658519927E-3</v>
      </c>
      <c r="J61">
        <v>58.369999</v>
      </c>
      <c r="K61" s="14">
        <f t="shared" si="8"/>
        <v>-2.862374771176579E-2</v>
      </c>
      <c r="M61">
        <v>121.889076</v>
      </c>
      <c r="N61" s="14">
        <f t="shared" si="9"/>
        <v>7.2447884603397128E-3</v>
      </c>
      <c r="P61">
        <v>136.36985799999999</v>
      </c>
      <c r="Q61" s="14">
        <f t="shared" si="10"/>
        <v>1.6665352065382777E-2</v>
      </c>
    </row>
    <row r="62" spans="1:17" x14ac:dyDescent="0.2">
      <c r="A62">
        <f t="shared" si="11"/>
        <v>60</v>
      </c>
      <c r="B62" s="1">
        <v>43781</v>
      </c>
      <c r="C62" s="1"/>
      <c r="D62">
        <v>137.292496</v>
      </c>
      <c r="E62" s="14">
        <f t="shared" si="6"/>
        <v>-2.9797158435024285E-2</v>
      </c>
      <c r="G62">
        <v>42.692901999999997</v>
      </c>
      <c r="H62" s="14">
        <f t="shared" si="7"/>
        <v>-6.1330567250015955E-2</v>
      </c>
      <c r="J62">
        <v>60.09</v>
      </c>
      <c r="K62" s="14">
        <f t="shared" si="8"/>
        <v>-2.3244230449940284E-3</v>
      </c>
      <c r="M62">
        <v>121.012367</v>
      </c>
      <c r="N62" s="14">
        <f t="shared" si="9"/>
        <v>9.8607160515977732E-3</v>
      </c>
      <c r="P62">
        <v>134.13445999999999</v>
      </c>
      <c r="Q62" s="14">
        <f t="shared" si="10"/>
        <v>2.2295950210134086E-2</v>
      </c>
    </row>
    <row r="63" spans="1:17" x14ac:dyDescent="0.2">
      <c r="A63">
        <f t="shared" si="11"/>
        <v>61</v>
      </c>
      <c r="B63" s="1">
        <v>43774</v>
      </c>
      <c r="C63" s="1"/>
      <c r="D63">
        <v>141.509064</v>
      </c>
      <c r="E63" s="14">
        <f t="shared" si="6"/>
        <v>7.3508696547264218E-3</v>
      </c>
      <c r="G63">
        <v>45.482360999999997</v>
      </c>
      <c r="H63" s="14">
        <f t="shared" si="7"/>
        <v>1.3058104397167813E-2</v>
      </c>
      <c r="J63">
        <v>60.23</v>
      </c>
      <c r="K63" s="14">
        <f t="shared" si="8"/>
        <v>-9.7407503488348368E-2</v>
      </c>
      <c r="M63">
        <v>119.83074999999999</v>
      </c>
      <c r="N63" s="14">
        <f t="shared" si="9"/>
        <v>-6.2996789521384544E-3</v>
      </c>
      <c r="P63">
        <v>131.20903000000001</v>
      </c>
      <c r="Q63" s="14">
        <f t="shared" si="10"/>
        <v>-2.504842322541001E-2</v>
      </c>
    </row>
    <row r="64" spans="1:17" x14ac:dyDescent="0.2">
      <c r="A64">
        <f t="shared" si="11"/>
        <v>62</v>
      </c>
      <c r="B64" s="1">
        <v>43767</v>
      </c>
      <c r="C64" s="1"/>
      <c r="D64">
        <v>140.47644</v>
      </c>
      <c r="E64" s="14">
        <f t="shared" si="6"/>
        <v>4.8979057574616514E-2</v>
      </c>
      <c r="G64">
        <v>44.896102999999997</v>
      </c>
      <c r="H64" s="14">
        <f t="shared" si="7"/>
        <v>6.5720511436793139E-3</v>
      </c>
      <c r="J64">
        <v>66.730002999999996</v>
      </c>
      <c r="K64" s="14">
        <f t="shared" si="8"/>
        <v>-4.7394716028777428E-2</v>
      </c>
      <c r="M64">
        <v>120.590431</v>
      </c>
      <c r="N64" s="14">
        <f t="shared" si="9"/>
        <v>5.5205650298639775E-4</v>
      </c>
      <c r="P64">
        <v>134.58004800000001</v>
      </c>
      <c r="Q64" s="14">
        <f t="shared" si="10"/>
        <v>1.0564373719847975E-2</v>
      </c>
    </row>
    <row r="65" spans="1:17" x14ac:dyDescent="0.2">
      <c r="A65">
        <f t="shared" si="11"/>
        <v>63</v>
      </c>
      <c r="B65" s="1">
        <v>43760</v>
      </c>
      <c r="C65" s="1"/>
      <c r="D65">
        <v>133.91729699999999</v>
      </c>
      <c r="E65" s="14">
        <f t="shared" si="6"/>
        <v>6.7540604569406693E-2</v>
      </c>
      <c r="G65">
        <v>44.602969999999999</v>
      </c>
      <c r="H65" s="14">
        <f t="shared" si="7"/>
        <v>-4.6424091262767808E-3</v>
      </c>
      <c r="J65">
        <v>70.050003000000004</v>
      </c>
      <c r="K65" s="14">
        <f t="shared" si="8"/>
        <v>0.2295945545094864</v>
      </c>
      <c r="M65">
        <v>120.523895</v>
      </c>
      <c r="N65" s="14">
        <f t="shared" si="9"/>
        <v>-2.3676004160744224E-4</v>
      </c>
      <c r="P65">
        <v>133.173157</v>
      </c>
      <c r="Q65" s="14">
        <f t="shared" si="10"/>
        <v>-9.168076853104834E-3</v>
      </c>
    </row>
    <row r="66" spans="1:17" x14ac:dyDescent="0.2">
      <c r="A66">
        <f t="shared" si="11"/>
        <v>64</v>
      </c>
      <c r="B66" s="1">
        <v>43753</v>
      </c>
      <c r="C66" s="1"/>
      <c r="D66">
        <v>125.444687</v>
      </c>
      <c r="E66" s="14">
        <f t="shared" si="6"/>
        <v>2.9988999547171602E-2</v>
      </c>
      <c r="G66">
        <v>44.811000999999997</v>
      </c>
      <c r="H66" s="14">
        <f t="shared" si="7"/>
        <v>2.9098942610103595E-2</v>
      </c>
      <c r="J66">
        <v>56.970001000000003</v>
      </c>
      <c r="K66" s="14">
        <f t="shared" si="8"/>
        <v>1.7559691319513071E-4</v>
      </c>
      <c r="M66">
        <v>120.552437</v>
      </c>
      <c r="N66" s="14">
        <f t="shared" si="9"/>
        <v>-1.1811177716470889E-3</v>
      </c>
      <c r="P66">
        <v>134.405396</v>
      </c>
      <c r="Q66" s="14">
        <f t="shared" si="10"/>
        <v>-2.0712540876870356E-2</v>
      </c>
    </row>
    <row r="67" spans="1:17" x14ac:dyDescent="0.2">
      <c r="A67">
        <f t="shared" si="11"/>
        <v>65</v>
      </c>
      <c r="B67" s="1">
        <v>43746</v>
      </c>
      <c r="C67" s="1"/>
      <c r="D67">
        <v>121.792259</v>
      </c>
      <c r="E67" s="14">
        <f t="shared" ref="E67:E98" si="12">D67/D68-1</f>
        <v>6.760922215981835E-2</v>
      </c>
      <c r="G67">
        <v>43.543919000000002</v>
      </c>
      <c r="H67" s="14">
        <f t="shared" ref="H67:H98" si="13">G67/G68-1</f>
        <v>-2.8704529133062873E-2</v>
      </c>
      <c r="J67">
        <v>56.959999000000003</v>
      </c>
      <c r="K67" s="14">
        <f t="shared" ref="K67:K98" si="14">J67/J68-1</f>
        <v>1.5825567361096304E-3</v>
      </c>
      <c r="M67">
        <v>120.694992</v>
      </c>
      <c r="N67" s="14">
        <f t="shared" ref="N67:N98" si="15">M67/M68-1</f>
        <v>-2.2281244856963145E-3</v>
      </c>
      <c r="P67">
        <v>137.248154</v>
      </c>
      <c r="Q67" s="14">
        <f t="shared" ref="Q67:Q98" si="16">P67/P68-1</f>
        <v>-2.1220907878347628E-2</v>
      </c>
    </row>
    <row r="68" spans="1:17" x14ac:dyDescent="0.2">
      <c r="A68">
        <f t="shared" ref="A68:A99" si="17">A67+1</f>
        <v>66</v>
      </c>
      <c r="B68" s="1">
        <v>43739</v>
      </c>
      <c r="C68" s="1"/>
      <c r="D68">
        <v>114.079437</v>
      </c>
      <c r="E68" s="14">
        <f t="shared" si="12"/>
        <v>-4.7977171835327126E-2</v>
      </c>
      <c r="G68">
        <v>44.830765</v>
      </c>
      <c r="H68" s="14">
        <f t="shared" si="13"/>
        <v>-3.3191752867411939E-2</v>
      </c>
      <c r="J68">
        <v>56.869999</v>
      </c>
      <c r="K68" s="14">
        <f t="shared" si="14"/>
        <v>3.6072144945748619E-2</v>
      </c>
      <c r="M68">
        <v>120.964516</v>
      </c>
      <c r="N68" s="14">
        <f t="shared" si="15"/>
        <v>1.0980135608460451E-3</v>
      </c>
      <c r="P68">
        <v>140.22383099999999</v>
      </c>
      <c r="Q68" s="14">
        <f t="shared" si="16"/>
        <v>1.1881116785750434E-2</v>
      </c>
    </row>
    <row r="69" spans="1:17" x14ac:dyDescent="0.2">
      <c r="A69">
        <f t="shared" si="17"/>
        <v>67</v>
      </c>
      <c r="B69" s="1">
        <v>43732</v>
      </c>
      <c r="C69" s="1"/>
      <c r="D69">
        <v>119.828468</v>
      </c>
      <c r="E69" s="14">
        <f t="shared" si="12"/>
        <v>-1.6430450865328572E-2</v>
      </c>
      <c r="G69">
        <v>46.369861999999998</v>
      </c>
      <c r="H69" s="14">
        <f t="shared" si="13"/>
        <v>-2.0233187922036322E-4</v>
      </c>
      <c r="J69">
        <v>54.889999000000003</v>
      </c>
      <c r="K69" s="14">
        <f t="shared" si="14"/>
        <v>3.722602181504242E-2</v>
      </c>
      <c r="M69">
        <v>120.831841</v>
      </c>
      <c r="N69" s="14">
        <f t="shared" si="15"/>
        <v>3.1477837911488837E-3</v>
      </c>
      <c r="P69">
        <v>138.57737700000001</v>
      </c>
      <c r="Q69" s="14">
        <f t="shared" si="16"/>
        <v>8.6002668336064847E-3</v>
      </c>
    </row>
    <row r="70" spans="1:17" x14ac:dyDescent="0.2">
      <c r="A70">
        <f t="shared" si="17"/>
        <v>68</v>
      </c>
      <c r="B70" s="1">
        <v>43725</v>
      </c>
      <c r="C70" s="1"/>
      <c r="D70">
        <v>121.83019299999999</v>
      </c>
      <c r="E70" s="14">
        <f t="shared" si="12"/>
        <v>-3.552383417673477E-2</v>
      </c>
      <c r="G70">
        <v>46.379246000000002</v>
      </c>
      <c r="H70" s="14">
        <f t="shared" si="13"/>
        <v>-1.0808658725806497E-2</v>
      </c>
      <c r="J70">
        <v>52.919998</v>
      </c>
      <c r="K70" s="14">
        <f t="shared" si="14"/>
        <v>-2.4875658743320539E-2</v>
      </c>
      <c r="M70">
        <v>120.452682</v>
      </c>
      <c r="N70" s="14">
        <f t="shared" si="15"/>
        <v>1.4124994298041926E-2</v>
      </c>
      <c r="P70">
        <v>137.395737</v>
      </c>
      <c r="Q70" s="14">
        <f t="shared" si="16"/>
        <v>2.5889436778632424E-2</v>
      </c>
    </row>
    <row r="71" spans="1:17" x14ac:dyDescent="0.2">
      <c r="A71">
        <f t="shared" si="17"/>
        <v>69</v>
      </c>
      <c r="B71" s="1">
        <v>43718</v>
      </c>
      <c r="C71" s="1"/>
      <c r="D71">
        <v>126.317474</v>
      </c>
      <c r="E71" s="14">
        <f t="shared" si="12"/>
        <v>4.6365418621220345E-2</v>
      </c>
      <c r="G71">
        <v>46.886021</v>
      </c>
      <c r="H71" s="14">
        <f t="shared" si="13"/>
        <v>2.8406655840684136E-2</v>
      </c>
      <c r="J71">
        <v>54.27</v>
      </c>
      <c r="K71" s="14">
        <f t="shared" si="14"/>
        <v>-1.5063485120271669E-2</v>
      </c>
      <c r="M71">
        <v>118.774986</v>
      </c>
      <c r="N71" s="14">
        <f t="shared" si="15"/>
        <v>-1.1793483841592289E-2</v>
      </c>
      <c r="P71">
        <v>133.928406</v>
      </c>
      <c r="Q71" s="14">
        <f t="shared" si="16"/>
        <v>-3.265002133171846E-2</v>
      </c>
    </row>
    <row r="72" spans="1:17" x14ac:dyDescent="0.2">
      <c r="A72">
        <f t="shared" si="17"/>
        <v>70</v>
      </c>
      <c r="B72" s="1">
        <v>43711</v>
      </c>
      <c r="C72" s="1"/>
      <c r="D72">
        <v>120.72023</v>
      </c>
      <c r="E72" s="14">
        <f t="shared" si="12"/>
        <v>6.9327774823668031E-2</v>
      </c>
      <c r="G72">
        <v>45.590935000000002</v>
      </c>
      <c r="H72" s="14">
        <f t="shared" si="13"/>
        <v>3.781264176015986E-2</v>
      </c>
      <c r="J72">
        <v>55.099997999999999</v>
      </c>
      <c r="K72" s="14">
        <f t="shared" si="14"/>
        <v>-2.9245948881111761E-2</v>
      </c>
      <c r="M72">
        <v>120.192474</v>
      </c>
      <c r="N72" s="14">
        <f t="shared" si="15"/>
        <v>-1.2810635359623013E-2</v>
      </c>
      <c r="P72">
        <v>138.44876099999999</v>
      </c>
      <c r="Q72" s="14">
        <f t="shared" si="16"/>
        <v>-2.7702209341597839E-2</v>
      </c>
    </row>
    <row r="73" spans="1:17" x14ac:dyDescent="0.2">
      <c r="A73">
        <f t="shared" si="17"/>
        <v>71</v>
      </c>
      <c r="B73" s="1">
        <v>43704</v>
      </c>
      <c r="C73" s="1"/>
      <c r="D73">
        <v>112.89357</v>
      </c>
      <c r="E73" s="14">
        <f t="shared" si="12"/>
        <v>4.0028030213641319E-2</v>
      </c>
      <c r="G73">
        <v>43.929831999999998</v>
      </c>
      <c r="H73" s="14">
        <f t="shared" si="13"/>
        <v>-6.1571885719539088E-3</v>
      </c>
      <c r="J73">
        <v>56.759998000000003</v>
      </c>
      <c r="K73" s="14">
        <f t="shared" si="14"/>
        <v>-9.7697487787856696E-3</v>
      </c>
      <c r="M73">
        <v>121.752197</v>
      </c>
      <c r="N73" s="14">
        <f t="shared" si="15"/>
        <v>3.0372738731374582E-3</v>
      </c>
      <c r="P73">
        <v>142.393372</v>
      </c>
      <c r="Q73" s="14">
        <f t="shared" si="16"/>
        <v>1.3138931762329387E-2</v>
      </c>
    </row>
    <row r="74" spans="1:17" x14ac:dyDescent="0.2">
      <c r="A74">
        <f t="shared" si="17"/>
        <v>72</v>
      </c>
      <c r="B74" s="1">
        <v>43697</v>
      </c>
      <c r="C74" s="1"/>
      <c r="D74">
        <v>108.54858400000001</v>
      </c>
      <c r="E74" s="14">
        <f t="shared" si="12"/>
        <v>-2.5051158985890054E-2</v>
      </c>
      <c r="G74">
        <v>44.201991999999997</v>
      </c>
      <c r="H74" s="14">
        <f t="shared" si="13"/>
        <v>-2.8866029845336927E-2</v>
      </c>
      <c r="J74">
        <v>57.32</v>
      </c>
      <c r="K74" s="14">
        <f t="shared" si="14"/>
        <v>-2.6100747762298759E-3</v>
      </c>
      <c r="M74">
        <v>121.383522</v>
      </c>
      <c r="N74" s="14">
        <f t="shared" si="15"/>
        <v>7.6904440867866519E-3</v>
      </c>
      <c r="P74">
        <v>140.546738</v>
      </c>
      <c r="Q74" s="14">
        <f t="shared" si="16"/>
        <v>9.2337806909874587E-3</v>
      </c>
    </row>
    <row r="75" spans="1:17" x14ac:dyDescent="0.2">
      <c r="A75">
        <f t="shared" si="17"/>
        <v>73</v>
      </c>
      <c r="B75" s="1">
        <v>43690</v>
      </c>
      <c r="C75" s="1"/>
      <c r="D75">
        <v>111.337723</v>
      </c>
      <c r="E75" s="14">
        <f t="shared" si="12"/>
        <v>5.483038051014244E-3</v>
      </c>
      <c r="G75">
        <v>45.515853999999997</v>
      </c>
      <c r="H75" s="14">
        <f t="shared" si="13"/>
        <v>-5.8983206964340562E-2</v>
      </c>
      <c r="J75">
        <v>57.470001000000003</v>
      </c>
      <c r="K75" s="14">
        <f t="shared" si="14"/>
        <v>2.223408000295124E-2</v>
      </c>
      <c r="M75">
        <v>120.45715300000001</v>
      </c>
      <c r="N75" s="14">
        <f t="shared" si="15"/>
        <v>5.5236239026379419E-3</v>
      </c>
      <c r="P75">
        <v>139.26083399999999</v>
      </c>
      <c r="Q75" s="14">
        <f t="shared" si="16"/>
        <v>7.4838834652410924E-3</v>
      </c>
    </row>
    <row r="76" spans="1:17" x14ac:dyDescent="0.2">
      <c r="A76">
        <f t="shared" si="17"/>
        <v>74</v>
      </c>
      <c r="B76" s="1">
        <v>43683</v>
      </c>
      <c r="C76" s="1"/>
      <c r="D76">
        <v>110.730583</v>
      </c>
      <c r="E76" s="14">
        <f t="shared" si="12"/>
        <v>-4.052607453928514E-2</v>
      </c>
      <c r="G76">
        <v>48.368800999999998</v>
      </c>
      <c r="H76" s="14">
        <f t="shared" si="13"/>
        <v>3.3091977938599637E-3</v>
      </c>
      <c r="J76">
        <v>56.220001000000003</v>
      </c>
      <c r="K76" s="14">
        <f t="shared" si="14"/>
        <v>3.2317334416403387E-2</v>
      </c>
      <c r="M76">
        <v>119.79544799999999</v>
      </c>
      <c r="N76" s="14">
        <f t="shared" si="15"/>
        <v>1.4980460798982298E-2</v>
      </c>
      <c r="P76">
        <v>138.22636399999999</v>
      </c>
      <c r="Q76" s="14">
        <f t="shared" si="16"/>
        <v>3.1573386623016564E-2</v>
      </c>
    </row>
    <row r="77" spans="1:17" x14ac:dyDescent="0.2">
      <c r="A77">
        <f t="shared" si="17"/>
        <v>75</v>
      </c>
      <c r="B77" s="1">
        <v>43676</v>
      </c>
      <c r="C77" s="1"/>
      <c r="D77">
        <v>115.4076</v>
      </c>
      <c r="E77" s="14">
        <f t="shared" si="12"/>
        <v>-9.5269988659869909E-2</v>
      </c>
      <c r="G77">
        <v>48.209266999999997</v>
      </c>
      <c r="H77" s="14">
        <f t="shared" si="13"/>
        <v>-9.7663712701041572E-2</v>
      </c>
      <c r="J77">
        <v>54.459999000000003</v>
      </c>
      <c r="K77" s="14">
        <f t="shared" si="14"/>
        <v>2.0614654786082376E-2</v>
      </c>
      <c r="M77">
        <v>118.027344</v>
      </c>
      <c r="N77" s="14">
        <f t="shared" si="15"/>
        <v>7.64536860126519E-3</v>
      </c>
      <c r="P77">
        <v>133.995667</v>
      </c>
      <c r="Q77" s="14">
        <f t="shared" si="16"/>
        <v>5.5965623645448659E-2</v>
      </c>
    </row>
    <row r="78" spans="1:17" x14ac:dyDescent="0.2">
      <c r="A78">
        <f t="shared" si="17"/>
        <v>76</v>
      </c>
      <c r="B78" s="1">
        <v>43669</v>
      </c>
      <c r="C78" s="1"/>
      <c r="D78">
        <v>127.560265</v>
      </c>
      <c r="E78" s="14">
        <f t="shared" si="12"/>
        <v>1.8827754190724466E-3</v>
      </c>
      <c r="G78">
        <v>53.427162000000003</v>
      </c>
      <c r="H78" s="14">
        <f t="shared" si="13"/>
        <v>-1.3857578224139466E-2</v>
      </c>
      <c r="J78">
        <v>53.360000999999997</v>
      </c>
      <c r="K78" s="14">
        <f t="shared" si="14"/>
        <v>0.30273443121910204</v>
      </c>
      <c r="M78">
        <v>117.131828</v>
      </c>
      <c r="N78" s="14">
        <f t="shared" si="15"/>
        <v>8.8583807521191993E-4</v>
      </c>
      <c r="P78">
        <v>126.893967</v>
      </c>
      <c r="Q78" s="14">
        <f t="shared" si="16"/>
        <v>-3.2594337732275713E-3</v>
      </c>
    </row>
    <row r="79" spans="1:17" x14ac:dyDescent="0.2">
      <c r="A79">
        <f t="shared" si="17"/>
        <v>77</v>
      </c>
      <c r="B79" s="1">
        <v>43662</v>
      </c>
      <c r="C79" s="1"/>
      <c r="D79">
        <v>127.320549</v>
      </c>
      <c r="E79" s="14">
        <f t="shared" si="12"/>
        <v>-3.1509812565324036E-2</v>
      </c>
      <c r="G79">
        <v>54.177937</v>
      </c>
      <c r="H79" s="14">
        <f t="shared" si="13"/>
        <v>-5.512566739476088E-3</v>
      </c>
      <c r="J79">
        <v>40.959999000000003</v>
      </c>
      <c r="K79" s="14">
        <f t="shared" si="14"/>
        <v>1.5369335647000604E-2</v>
      </c>
      <c r="M79">
        <v>117.02816</v>
      </c>
      <c r="N79" s="14">
        <f t="shared" si="15"/>
        <v>7.0572216965272272E-3</v>
      </c>
      <c r="P79">
        <v>127.308922</v>
      </c>
      <c r="Q79" s="14">
        <f t="shared" si="16"/>
        <v>7.4061397900340165E-3</v>
      </c>
    </row>
    <row r="80" spans="1:17" x14ac:dyDescent="0.2">
      <c r="A80">
        <f t="shared" si="17"/>
        <v>78</v>
      </c>
      <c r="B80" s="1">
        <v>43655</v>
      </c>
      <c r="C80" s="1"/>
      <c r="D80">
        <v>131.46292099999999</v>
      </c>
      <c r="E80" s="14">
        <f t="shared" si="12"/>
        <v>3.5597996501921303E-2</v>
      </c>
      <c r="G80">
        <v>54.478251999999998</v>
      </c>
      <c r="H80" s="14">
        <f t="shared" si="13"/>
        <v>3.9621835728411048E-2</v>
      </c>
      <c r="J80">
        <v>40.340000000000003</v>
      </c>
      <c r="K80" s="14">
        <f t="shared" si="14"/>
        <v>-8.114040231818942E-3</v>
      </c>
      <c r="M80">
        <v>116.208054</v>
      </c>
      <c r="N80" s="14">
        <f t="shared" si="15"/>
        <v>-3.0728621045238436E-3</v>
      </c>
      <c r="P80">
        <v>126.372986</v>
      </c>
      <c r="Q80" s="14">
        <f t="shared" si="16"/>
        <v>-1.2366849005994718E-2</v>
      </c>
    </row>
    <row r="81" spans="1:17" x14ac:dyDescent="0.2">
      <c r="A81">
        <f t="shared" si="17"/>
        <v>79</v>
      </c>
      <c r="B81" s="1">
        <v>43648</v>
      </c>
      <c r="C81" s="1"/>
      <c r="D81">
        <v>126.94396999999999</v>
      </c>
      <c r="E81" s="14">
        <f t="shared" si="12"/>
        <v>-1.2884326024888315E-2</v>
      </c>
      <c r="G81">
        <v>52.401989</v>
      </c>
      <c r="H81" s="14">
        <f t="shared" si="13"/>
        <v>2.6488771422634505E-2</v>
      </c>
      <c r="J81">
        <v>40.669998</v>
      </c>
      <c r="K81" s="14">
        <f t="shared" si="14"/>
        <v>4.9418580444313687E-3</v>
      </c>
      <c r="M81">
        <v>116.56624600000001</v>
      </c>
      <c r="N81" s="14">
        <f t="shared" si="15"/>
        <v>-1.8997652124125297E-3</v>
      </c>
      <c r="P81">
        <v>127.95539100000001</v>
      </c>
      <c r="Q81" s="14">
        <f t="shared" si="16"/>
        <v>4.7650871037698828E-3</v>
      </c>
    </row>
    <row r="82" spans="1:17" x14ac:dyDescent="0.2">
      <c r="A82">
        <f t="shared" si="17"/>
        <v>80</v>
      </c>
      <c r="B82" s="1">
        <v>43641</v>
      </c>
      <c r="C82" s="1"/>
      <c r="D82">
        <v>128.60090600000001</v>
      </c>
      <c r="E82" s="14">
        <f t="shared" si="12"/>
        <v>1.6595809673767503E-2</v>
      </c>
      <c r="G82">
        <v>51.049743999999997</v>
      </c>
      <c r="H82" s="14">
        <f t="shared" si="13"/>
        <v>-4.2672258863919454E-2</v>
      </c>
      <c r="J82">
        <v>40.470001000000003</v>
      </c>
      <c r="K82" s="14">
        <f t="shared" si="14"/>
        <v>4.1967070030896059E-2</v>
      </c>
      <c r="M82">
        <v>116.788116</v>
      </c>
      <c r="N82" s="14">
        <f t="shared" si="15"/>
        <v>2.4207147011923169E-3</v>
      </c>
      <c r="P82">
        <v>127.348564</v>
      </c>
      <c r="Q82" s="14">
        <f t="shared" si="16"/>
        <v>-1.2838920701251366E-3</v>
      </c>
    </row>
    <row r="83" spans="1:17" x14ac:dyDescent="0.2">
      <c r="A83">
        <f t="shared" si="17"/>
        <v>81</v>
      </c>
      <c r="B83" s="1">
        <v>43634</v>
      </c>
      <c r="C83" s="1"/>
      <c r="D83">
        <v>126.50151099999999</v>
      </c>
      <c r="E83" s="14">
        <f t="shared" si="12"/>
        <v>5.5372339173229701E-2</v>
      </c>
      <c r="G83">
        <v>53.325252999999996</v>
      </c>
      <c r="H83" s="14">
        <f t="shared" si="13"/>
        <v>3.2129911373897535E-2</v>
      </c>
      <c r="J83">
        <v>38.840000000000003</v>
      </c>
      <c r="K83" s="14">
        <f t="shared" si="14"/>
        <v>-4.1461006910167852E-2</v>
      </c>
      <c r="M83">
        <v>116.50608800000001</v>
      </c>
      <c r="N83" s="14">
        <f t="shared" si="15"/>
        <v>1.7400970120163173E-2</v>
      </c>
      <c r="P83">
        <v>127.512276</v>
      </c>
      <c r="Q83" s="14">
        <f t="shared" si="16"/>
        <v>5.467021909043579E-3</v>
      </c>
    </row>
    <row r="84" spans="1:17" x14ac:dyDescent="0.2">
      <c r="A84">
        <f t="shared" si="17"/>
        <v>82</v>
      </c>
      <c r="B84" s="1">
        <v>43627</v>
      </c>
      <c r="C84" s="1"/>
      <c r="D84">
        <v>119.86434199999999</v>
      </c>
      <c r="E84" s="14">
        <f t="shared" si="12"/>
        <v>1.2565828016407821E-2</v>
      </c>
      <c r="G84">
        <v>51.665253</v>
      </c>
      <c r="H84" s="14">
        <f t="shared" si="13"/>
        <v>-1.8078536683619362E-2</v>
      </c>
      <c r="J84">
        <v>40.520000000000003</v>
      </c>
      <c r="K84" s="14">
        <f t="shared" si="14"/>
        <v>1.4267809405061227E-2</v>
      </c>
      <c r="M84">
        <v>114.513443</v>
      </c>
      <c r="N84" s="14">
        <f t="shared" si="15"/>
        <v>5.862135134722557E-3</v>
      </c>
      <c r="P84">
        <v>126.81895400000001</v>
      </c>
      <c r="Q84" s="14">
        <f t="shared" si="16"/>
        <v>9.1189954865622536E-3</v>
      </c>
    </row>
    <row r="85" spans="1:17" x14ac:dyDescent="0.2">
      <c r="A85">
        <f t="shared" si="17"/>
        <v>83</v>
      </c>
      <c r="B85" s="1">
        <v>43620</v>
      </c>
      <c r="C85" s="1"/>
      <c r="D85">
        <v>118.376839</v>
      </c>
      <c r="E85" s="14">
        <f t="shared" si="12"/>
        <v>4.2188031746997368E-2</v>
      </c>
      <c r="G85">
        <v>52.616481999999998</v>
      </c>
      <c r="H85" s="14">
        <f t="shared" si="13"/>
        <v>8.9609901857314656E-2</v>
      </c>
      <c r="J85">
        <v>39.950001</v>
      </c>
      <c r="K85" s="14">
        <f t="shared" si="14"/>
        <v>3.6854452033596052E-2</v>
      </c>
      <c r="M85">
        <v>113.846062</v>
      </c>
      <c r="N85" s="14">
        <f t="shared" si="15"/>
        <v>5.4871823682196563E-3</v>
      </c>
      <c r="P85">
        <v>125.672943</v>
      </c>
      <c r="Q85" s="14">
        <f t="shared" si="16"/>
        <v>-1.2625968754111039E-2</v>
      </c>
    </row>
    <row r="86" spans="1:17" x14ac:dyDescent="0.2">
      <c r="A86">
        <f t="shared" si="17"/>
        <v>84</v>
      </c>
      <c r="B86" s="1">
        <v>43613</v>
      </c>
      <c r="C86" s="1"/>
      <c r="D86">
        <v>113.584915</v>
      </c>
      <c r="E86" s="14">
        <f t="shared" si="12"/>
        <v>-1.8307606681418065E-2</v>
      </c>
      <c r="G86">
        <v>48.289284000000002</v>
      </c>
      <c r="H86" s="14">
        <f t="shared" si="13"/>
        <v>-4.7636643438372483E-2</v>
      </c>
      <c r="J86">
        <v>38.529998999999997</v>
      </c>
      <c r="K86" s="14">
        <f t="shared" si="14"/>
        <v>1.1551562089787248E-2</v>
      </c>
      <c r="M86">
        <v>113.224777</v>
      </c>
      <c r="N86" s="14">
        <f t="shared" si="15"/>
        <v>9.1871102812075556E-3</v>
      </c>
      <c r="P86">
        <v>127.279976</v>
      </c>
      <c r="Q86" s="14">
        <f t="shared" si="16"/>
        <v>3.6468857427395251E-2</v>
      </c>
    </row>
    <row r="87" spans="1:17" x14ac:dyDescent="0.2">
      <c r="A87">
        <f t="shared" si="17"/>
        <v>85</v>
      </c>
      <c r="B87" s="1">
        <v>43606</v>
      </c>
      <c r="C87" s="1"/>
      <c r="D87">
        <v>115.703163</v>
      </c>
      <c r="E87" s="14">
        <f t="shared" si="12"/>
        <v>3.8389674272356622E-3</v>
      </c>
      <c r="G87">
        <v>50.704684999999998</v>
      </c>
      <c r="H87" s="14">
        <f t="shared" si="13"/>
        <v>-2.928043800027047E-2</v>
      </c>
      <c r="J87">
        <v>38.090000000000003</v>
      </c>
      <c r="K87" s="14">
        <f t="shared" si="14"/>
        <v>2.447552447552459E-2</v>
      </c>
      <c r="M87">
        <v>112.19403800000001</v>
      </c>
      <c r="N87" s="14">
        <f t="shared" si="15"/>
        <v>6.3885206624785251E-3</v>
      </c>
      <c r="P87">
        <v>122.80154400000001</v>
      </c>
      <c r="Q87" s="14">
        <f t="shared" si="16"/>
        <v>1.6304984987758564E-2</v>
      </c>
    </row>
    <row r="88" spans="1:17" x14ac:dyDescent="0.2">
      <c r="A88">
        <f t="shared" si="17"/>
        <v>86</v>
      </c>
      <c r="B88" s="1">
        <v>43599</v>
      </c>
      <c r="C88" s="1"/>
      <c r="D88">
        <v>115.26068100000001</v>
      </c>
      <c r="E88" s="14">
        <f t="shared" si="12"/>
        <v>-2.2905077120020656E-2</v>
      </c>
      <c r="G88">
        <v>52.234122999999997</v>
      </c>
      <c r="H88" s="14">
        <f t="shared" si="13"/>
        <v>9.1812694929514382E-2</v>
      </c>
      <c r="J88">
        <v>37.18</v>
      </c>
      <c r="K88" s="14">
        <f t="shared" si="14"/>
        <v>-3.0761234860238851E-2</v>
      </c>
      <c r="M88">
        <v>111.48183400000001</v>
      </c>
      <c r="N88" s="14">
        <f t="shared" si="15"/>
        <v>3.3613181765468347E-4</v>
      </c>
      <c r="P88">
        <v>120.83139</v>
      </c>
      <c r="Q88" s="14">
        <f t="shared" si="16"/>
        <v>0</v>
      </c>
    </row>
    <row r="89" spans="1:17" x14ac:dyDescent="0.2">
      <c r="A89">
        <f t="shared" si="17"/>
        <v>87</v>
      </c>
      <c r="B89" s="1">
        <v>43592</v>
      </c>
      <c r="C89" s="1"/>
      <c r="D89">
        <v>117.96262400000001</v>
      </c>
      <c r="E89" s="14">
        <f t="shared" si="12"/>
        <v>-8.3796410638688923E-2</v>
      </c>
      <c r="G89">
        <v>47.841652000000003</v>
      </c>
      <c r="H89" s="14">
        <f t="shared" si="13"/>
        <v>-6.0267368665654186E-2</v>
      </c>
      <c r="J89">
        <v>38.360000999999997</v>
      </c>
      <c r="K89" s="14">
        <f t="shared" si="14"/>
        <v>-6.7574090120906538E-2</v>
      </c>
      <c r="M89">
        <v>111.444374</v>
      </c>
      <c r="N89" s="14">
        <f t="shared" si="15"/>
        <v>1.6137895738757013E-3</v>
      </c>
      <c r="P89">
        <v>120.83139</v>
      </c>
      <c r="Q89" s="14">
        <f t="shared" si="16"/>
        <v>1.6079895335976868E-2</v>
      </c>
    </row>
    <row r="90" spans="1:17" x14ac:dyDescent="0.2">
      <c r="A90">
        <f t="shared" si="17"/>
        <v>88</v>
      </c>
      <c r="B90" s="1">
        <v>43585</v>
      </c>
      <c r="C90" s="1"/>
      <c r="D90">
        <v>128.751541</v>
      </c>
      <c r="E90" s="14">
        <f t="shared" si="12"/>
        <v>-1.6256865575772217E-2</v>
      </c>
      <c r="G90">
        <v>50.909855</v>
      </c>
      <c r="H90" s="14">
        <f t="shared" si="13"/>
        <v>-2.743634527915273E-2</v>
      </c>
      <c r="J90">
        <v>41.139999000000003</v>
      </c>
      <c r="K90" s="14">
        <f t="shared" si="14"/>
        <v>0.2466666363636365</v>
      </c>
      <c r="M90">
        <v>111.264816</v>
      </c>
      <c r="N90" s="14">
        <f t="shared" si="15"/>
        <v>-6.7098365420514838E-4</v>
      </c>
      <c r="P90">
        <v>118.91918200000001</v>
      </c>
      <c r="Q90" s="14">
        <f t="shared" si="16"/>
        <v>7.9661574645188971E-3</v>
      </c>
    </row>
    <row r="91" spans="1:17" x14ac:dyDescent="0.2">
      <c r="A91">
        <f t="shared" si="17"/>
        <v>89</v>
      </c>
      <c r="B91" s="1">
        <v>43578</v>
      </c>
      <c r="C91" s="1"/>
      <c r="D91">
        <v>130.87922699999999</v>
      </c>
      <c r="E91" s="14">
        <f t="shared" si="12"/>
        <v>-1.7680327407999852E-2</v>
      </c>
      <c r="G91">
        <v>52.346038999999998</v>
      </c>
      <c r="H91" s="14">
        <f t="shared" si="13"/>
        <v>-3.727369339377784E-3</v>
      </c>
      <c r="J91">
        <v>33</v>
      </c>
      <c r="K91" s="14">
        <f t="shared" si="14"/>
        <v>3.6432160804020119E-2</v>
      </c>
      <c r="M91">
        <v>111.339523</v>
      </c>
      <c r="N91" s="14">
        <f t="shared" si="15"/>
        <v>6.5881540213403866E-3</v>
      </c>
      <c r="P91">
        <v>117.97933999999999</v>
      </c>
      <c r="Q91" s="14">
        <f t="shared" si="16"/>
        <v>5.8048598583650968E-3</v>
      </c>
    </row>
    <row r="92" spans="1:17" x14ac:dyDescent="0.2">
      <c r="A92">
        <f t="shared" si="17"/>
        <v>90</v>
      </c>
      <c r="B92" s="1">
        <v>43571</v>
      </c>
      <c r="C92" s="1"/>
      <c r="D92">
        <v>133.23486299999999</v>
      </c>
      <c r="E92" s="14">
        <f t="shared" si="12"/>
        <v>1.5187203996925636E-2</v>
      </c>
      <c r="G92">
        <v>52.541882000000001</v>
      </c>
      <c r="H92" s="14">
        <f t="shared" si="13"/>
        <v>-3.8896016302106817E-3</v>
      </c>
      <c r="J92">
        <v>31.84</v>
      </c>
      <c r="K92" s="14">
        <f t="shared" si="14"/>
        <v>-9.0258633978878011E-3</v>
      </c>
      <c r="M92">
        <v>110.61080200000001</v>
      </c>
      <c r="N92" s="14">
        <f t="shared" si="15"/>
        <v>-3.7029627088388528E-3</v>
      </c>
      <c r="P92">
        <v>117.298439</v>
      </c>
      <c r="Q92" s="14">
        <f t="shared" si="16"/>
        <v>-5.4480466574355901E-3</v>
      </c>
    </row>
    <row r="93" spans="1:17" x14ac:dyDescent="0.2">
      <c r="A93">
        <f t="shared" si="17"/>
        <v>91</v>
      </c>
      <c r="B93" s="1">
        <v>43564</v>
      </c>
      <c r="C93" s="1"/>
      <c r="D93">
        <v>131.241669</v>
      </c>
      <c r="E93" s="14">
        <f t="shared" si="12"/>
        <v>3.07545259401798E-3</v>
      </c>
      <c r="G93">
        <v>52.747047000000002</v>
      </c>
      <c r="H93" s="14">
        <f t="shared" si="13"/>
        <v>2.5736199444150065E-2</v>
      </c>
      <c r="J93">
        <v>32.130001</v>
      </c>
      <c r="K93" s="14">
        <f t="shared" si="14"/>
        <v>2.6845636725930433E-2</v>
      </c>
      <c r="M93">
        <v>111.021912</v>
      </c>
      <c r="N93" s="14">
        <f t="shared" si="15"/>
        <v>3.8014051368266966E-3</v>
      </c>
      <c r="P93">
        <v>117.94098700000001</v>
      </c>
      <c r="Q93" s="14">
        <f t="shared" si="16"/>
        <v>-4.9357440145136877E-3</v>
      </c>
    </row>
    <row r="94" spans="1:17" x14ac:dyDescent="0.2">
      <c r="A94">
        <f t="shared" si="17"/>
        <v>92</v>
      </c>
      <c r="B94" s="1">
        <v>43557</v>
      </c>
      <c r="C94" s="1"/>
      <c r="D94">
        <v>130.839279</v>
      </c>
      <c r="E94" s="14">
        <f t="shared" si="12"/>
        <v>-3.0660231850602182E-3</v>
      </c>
      <c r="G94">
        <v>51.423599000000003</v>
      </c>
      <c r="H94" s="14">
        <f t="shared" si="13"/>
        <v>9.2760738980182111E-3</v>
      </c>
      <c r="J94">
        <v>31.290001</v>
      </c>
      <c r="K94" s="14">
        <f t="shared" si="14"/>
        <v>2.9276348684210474E-2</v>
      </c>
      <c r="M94">
        <v>110.601471</v>
      </c>
      <c r="N94" s="14">
        <f t="shared" si="15"/>
        <v>4.0337290205472165E-3</v>
      </c>
      <c r="P94">
        <v>118.52600099999999</v>
      </c>
      <c r="Q94" s="14">
        <f t="shared" si="16"/>
        <v>-4.0817054635570171E-3</v>
      </c>
    </row>
    <row r="95" spans="1:17" x14ac:dyDescent="0.2">
      <c r="A95">
        <f t="shared" si="17"/>
        <v>93</v>
      </c>
      <c r="B95" s="1">
        <v>43550</v>
      </c>
      <c r="C95" s="1"/>
      <c r="D95">
        <v>131.241669</v>
      </c>
      <c r="E95" s="14">
        <f t="shared" si="12"/>
        <v>6.7514105156008863E-2</v>
      </c>
      <c r="G95">
        <v>50.950974000000002</v>
      </c>
      <c r="H95" s="14">
        <f t="shared" si="13"/>
        <v>4.2670244024785031E-2</v>
      </c>
      <c r="J95">
        <v>30.4</v>
      </c>
      <c r="K95" s="14">
        <f t="shared" si="14"/>
        <v>2.9113032189809207E-2</v>
      </c>
      <c r="M95">
        <v>110.157127</v>
      </c>
      <c r="N95" s="14">
        <f t="shared" si="15"/>
        <v>-4.4615672603839363E-3</v>
      </c>
      <c r="P95">
        <v>119.01177199999999</v>
      </c>
      <c r="Q95" s="14">
        <f t="shared" si="16"/>
        <v>-5.5175863795724478E-3</v>
      </c>
    </row>
    <row r="96" spans="1:17" x14ac:dyDescent="0.2">
      <c r="A96">
        <f t="shared" si="17"/>
        <v>94</v>
      </c>
      <c r="B96" s="1">
        <v>43543</v>
      </c>
      <c r="C96" s="1"/>
      <c r="D96">
        <v>122.941391</v>
      </c>
      <c r="E96" s="14">
        <f t="shared" si="12"/>
        <v>-2.0283394683931699E-2</v>
      </c>
      <c r="G96">
        <v>48.865856000000001</v>
      </c>
      <c r="H96" s="14">
        <f t="shared" si="13"/>
        <v>-1.4576709175816993E-2</v>
      </c>
      <c r="J96">
        <v>29.540001</v>
      </c>
      <c r="K96" s="14">
        <f t="shared" si="14"/>
        <v>-3.0839862204724455E-2</v>
      </c>
      <c r="M96">
        <v>110.650803</v>
      </c>
      <c r="N96" s="14">
        <f t="shared" si="15"/>
        <v>1.7037698138232527E-2</v>
      </c>
      <c r="P96">
        <v>119.672073</v>
      </c>
      <c r="Q96" s="14">
        <f t="shared" si="16"/>
        <v>2.7777862944936782E-2</v>
      </c>
    </row>
    <row r="97" spans="1:17" x14ac:dyDescent="0.2">
      <c r="A97">
        <f t="shared" si="17"/>
        <v>95</v>
      </c>
      <c r="B97" s="1">
        <v>43536</v>
      </c>
      <c r="C97" s="1"/>
      <c r="D97">
        <v>125.486687</v>
      </c>
      <c r="E97" s="14">
        <f t="shared" si="12"/>
        <v>7.4376050781592706E-3</v>
      </c>
      <c r="G97">
        <v>49.588695999999999</v>
      </c>
      <c r="H97" s="14">
        <f t="shared" si="13"/>
        <v>3.062409931029908E-2</v>
      </c>
      <c r="J97">
        <v>30.48</v>
      </c>
      <c r="K97" s="14">
        <f t="shared" si="14"/>
        <v>-1.3106159895150959E-3</v>
      </c>
      <c r="M97">
        <v>108.79715</v>
      </c>
      <c r="N97" s="14">
        <f t="shared" si="15"/>
        <v>2.2310819437030283E-3</v>
      </c>
      <c r="P97">
        <v>116.43768300000001</v>
      </c>
      <c r="Q97" s="14">
        <f t="shared" si="16"/>
        <v>3.8775152636993937E-3</v>
      </c>
    </row>
    <row r="98" spans="1:17" x14ac:dyDescent="0.2">
      <c r="A98">
        <f t="shared" si="17"/>
        <v>96</v>
      </c>
      <c r="B98" s="1">
        <v>43529</v>
      </c>
      <c r="C98" s="1"/>
      <c r="D98">
        <v>124.56025699999999</v>
      </c>
      <c r="E98" s="14">
        <f t="shared" si="12"/>
        <v>-3.7875264369410688E-2</v>
      </c>
      <c r="G98">
        <v>48.115211000000002</v>
      </c>
      <c r="H98" s="14">
        <f t="shared" si="13"/>
        <v>1.4855294482021053E-2</v>
      </c>
      <c r="J98">
        <v>30.52</v>
      </c>
      <c r="K98" s="14">
        <f t="shared" si="14"/>
        <v>-2.6164645820038301E-2</v>
      </c>
      <c r="M98">
        <v>108.55495500000001</v>
      </c>
      <c r="N98" s="14">
        <f t="shared" si="15"/>
        <v>1.0115705124143171E-2</v>
      </c>
      <c r="P98">
        <v>115.987938</v>
      </c>
      <c r="Q98" s="14">
        <f t="shared" si="16"/>
        <v>1.5687506304922882E-2</v>
      </c>
    </row>
    <row r="99" spans="1:17" x14ac:dyDescent="0.2">
      <c r="A99">
        <f t="shared" si="17"/>
        <v>97</v>
      </c>
      <c r="B99" s="1">
        <v>43522</v>
      </c>
      <c r="C99" s="1"/>
      <c r="D99">
        <v>129.46373</v>
      </c>
      <c r="E99" s="14">
        <f t="shared" ref="E99:E106" si="18">D99/D100-1</f>
        <v>-2.1638930811083368E-2</v>
      </c>
      <c r="G99">
        <v>47.410907999999999</v>
      </c>
      <c r="H99" s="14">
        <f t="shared" ref="H99:H106" si="19">G99/G100-1</f>
        <v>7.2848607368773965E-3</v>
      </c>
      <c r="J99">
        <v>31.34</v>
      </c>
      <c r="K99" s="14">
        <f t="shared" ref="K99:K106" si="20">J99/J100-1</f>
        <v>-6.0833055463981323E-2</v>
      </c>
      <c r="M99">
        <v>107.467842</v>
      </c>
      <c r="N99" s="14">
        <f t="shared" ref="N99:N106" si="21">M99/M100-1</f>
        <v>-5.243187334065369E-3</v>
      </c>
      <c r="P99">
        <v>114.19647999999999</v>
      </c>
      <c r="Q99" s="14">
        <f t="shared" ref="Q99:Q106" si="22">P99/P100-1</f>
        <v>-1.3365345978036625E-2</v>
      </c>
    </row>
    <row r="100" spans="1:17" x14ac:dyDescent="0.2">
      <c r="A100">
        <f t="shared" ref="A100:A106" si="23">A99+1</f>
        <v>98</v>
      </c>
      <c r="B100" s="1">
        <v>43515</v>
      </c>
      <c r="C100" s="1"/>
      <c r="D100">
        <v>132.32714799999999</v>
      </c>
      <c r="E100" s="14">
        <f t="shared" si="18"/>
        <v>3.8252565931008009E-2</v>
      </c>
      <c r="G100">
        <v>47.068024000000001</v>
      </c>
      <c r="H100" s="14">
        <f t="shared" si="19"/>
        <v>2.7513679691220538E-2</v>
      </c>
      <c r="J100">
        <v>33.369999</v>
      </c>
      <c r="K100" s="14">
        <f t="shared" si="20"/>
        <v>-0.15561743421052643</v>
      </c>
      <c r="M100">
        <v>108.03428599999999</v>
      </c>
      <c r="N100" s="14">
        <f t="shared" si="21"/>
        <v>1.0322556063688815E-3</v>
      </c>
      <c r="P100">
        <v>115.743431</v>
      </c>
      <c r="Q100" s="14">
        <f t="shared" si="22"/>
        <v>-6.3126636983534823E-3</v>
      </c>
    </row>
    <row r="101" spans="1:17" x14ac:dyDescent="0.2">
      <c r="A101">
        <f t="shared" si="23"/>
        <v>99</v>
      </c>
      <c r="B101" s="1">
        <v>43508</v>
      </c>
      <c r="C101" s="1"/>
      <c r="D101">
        <v>127.45179</v>
      </c>
      <c r="E101" s="14">
        <f t="shared" si="18"/>
        <v>5.6387218224063895E-2</v>
      </c>
      <c r="G101">
        <v>45.807685999999997</v>
      </c>
      <c r="H101" s="14">
        <f t="shared" si="19"/>
        <v>3.8881862619450702E-2</v>
      </c>
      <c r="J101">
        <v>39.520000000000003</v>
      </c>
      <c r="K101" s="14">
        <f t="shared" si="20"/>
        <v>3.1315240083507279E-2</v>
      </c>
      <c r="M101">
        <v>107.922882</v>
      </c>
      <c r="N101" s="14">
        <f t="shared" si="21"/>
        <v>1.1198941245655902E-3</v>
      </c>
      <c r="P101">
        <v>116.478722</v>
      </c>
      <c r="Q101" s="14">
        <f t="shared" si="22"/>
        <v>9.0262677952623882E-4</v>
      </c>
    </row>
    <row r="102" spans="1:17" x14ac:dyDescent="0.2">
      <c r="A102">
        <f t="shared" si="23"/>
        <v>100</v>
      </c>
      <c r="B102" s="1">
        <v>43501</v>
      </c>
      <c r="C102" s="1"/>
      <c r="D102">
        <v>120.648743</v>
      </c>
      <c r="E102" s="14">
        <f t="shared" si="18"/>
        <v>-1.4899222732283501E-2</v>
      </c>
      <c r="G102">
        <v>44.093257999999999</v>
      </c>
      <c r="H102" s="14">
        <f t="shared" si="19"/>
        <v>4.8576457339297718E-3</v>
      </c>
      <c r="J102">
        <v>38.32</v>
      </c>
      <c r="K102" s="14">
        <f t="shared" si="20"/>
        <v>5.774331011775935E-3</v>
      </c>
      <c r="M102">
        <v>107.802155</v>
      </c>
      <c r="N102" s="14">
        <f t="shared" si="21"/>
        <v>5.287679513234167E-3</v>
      </c>
      <c r="P102">
        <v>116.37367999999999</v>
      </c>
      <c r="Q102" s="14">
        <f t="shared" si="22"/>
        <v>1.4328362319847354E-2</v>
      </c>
    </row>
    <row r="103" spans="1:17" x14ac:dyDescent="0.2">
      <c r="A103">
        <f t="shared" si="23"/>
        <v>101</v>
      </c>
      <c r="B103" s="1">
        <v>43494</v>
      </c>
      <c r="C103" s="1"/>
      <c r="D103">
        <v>122.47350299999999</v>
      </c>
      <c r="E103" s="14">
        <f t="shared" si="18"/>
        <v>5.2343867165712155E-2</v>
      </c>
      <c r="G103">
        <v>43.880104000000003</v>
      </c>
      <c r="H103" s="14">
        <f t="shared" si="19"/>
        <v>3.4972506072429743E-2</v>
      </c>
      <c r="J103">
        <v>38.099997999999999</v>
      </c>
      <c r="K103" s="14">
        <f t="shared" si="20"/>
        <v>2.8340054746020416E-2</v>
      </c>
      <c r="M103">
        <v>107.23513</v>
      </c>
      <c r="N103" s="14">
        <f t="shared" si="21"/>
        <v>6.9547071035374053E-3</v>
      </c>
      <c r="P103">
        <v>114.72978999999999</v>
      </c>
      <c r="Q103" s="14">
        <f t="shared" si="22"/>
        <v>8.2932157520199112E-5</v>
      </c>
    </row>
    <row r="104" spans="1:17" x14ac:dyDescent="0.2">
      <c r="A104">
        <f t="shared" si="23"/>
        <v>102</v>
      </c>
      <c r="B104" s="1">
        <v>43487</v>
      </c>
      <c r="C104" s="1"/>
      <c r="D104">
        <v>116.381638</v>
      </c>
      <c r="E104" s="14">
        <f t="shared" si="18"/>
        <v>-8.3674158234915863E-2</v>
      </c>
      <c r="G104">
        <v>42.397362000000001</v>
      </c>
      <c r="H104" s="14">
        <f t="shared" si="19"/>
        <v>1.598933624090515E-2</v>
      </c>
      <c r="J104">
        <v>37.049999</v>
      </c>
      <c r="K104" s="14">
        <f t="shared" si="20"/>
        <v>4.927776694200614E-2</v>
      </c>
      <c r="M104">
        <v>106.49449199999999</v>
      </c>
      <c r="N104" s="14">
        <f t="shared" si="21"/>
        <v>7.5325134312922426E-3</v>
      </c>
      <c r="P104">
        <v>114.720276</v>
      </c>
      <c r="Q104" s="14">
        <f t="shared" si="22"/>
        <v>7.1093567661038026E-3</v>
      </c>
    </row>
    <row r="105" spans="1:17" x14ac:dyDescent="0.2">
      <c r="A105">
        <f t="shared" si="23"/>
        <v>103</v>
      </c>
      <c r="B105" s="1">
        <v>43480</v>
      </c>
      <c r="C105" s="1"/>
      <c r="D105">
        <v>127.00901</v>
      </c>
      <c r="E105" s="14">
        <f t="shared" si="18"/>
        <v>3.6418754499737638E-2</v>
      </c>
      <c r="G105">
        <v>41.730125000000001</v>
      </c>
      <c r="H105" s="14">
        <f t="shared" si="19"/>
        <v>4.2119949819565017E-2</v>
      </c>
      <c r="J105">
        <v>35.310001</v>
      </c>
      <c r="K105" s="14">
        <f t="shared" si="20"/>
        <v>4.8708140701404279E-2</v>
      </c>
      <c r="M105">
        <v>105.698318</v>
      </c>
      <c r="N105" s="14">
        <f t="shared" si="21"/>
        <v>6.3461656063319438E-3</v>
      </c>
      <c r="P105">
        <v>113.91044599999999</v>
      </c>
      <c r="Q105" s="14">
        <f t="shared" si="22"/>
        <v>-7.6360413191171039E-3</v>
      </c>
    </row>
    <row r="106" spans="1:17" x14ac:dyDescent="0.2">
      <c r="A106">
        <f t="shared" si="23"/>
        <v>104</v>
      </c>
      <c r="B106" s="1">
        <v>43473</v>
      </c>
      <c r="C106" s="1"/>
      <c r="D106">
        <v>122.546036</v>
      </c>
      <c r="E106" s="14">
        <f t="shared" si="18"/>
        <v>2.7840611395978376E-2</v>
      </c>
      <c r="G106">
        <v>40.043495</v>
      </c>
      <c r="H106" s="14">
        <f t="shared" si="19"/>
        <v>7.74281084566808E-3</v>
      </c>
      <c r="J106">
        <v>33.669998</v>
      </c>
      <c r="K106" s="14">
        <f t="shared" si="20"/>
        <v>-2.9683082718066744E-2</v>
      </c>
      <c r="M106">
        <v>105.031769</v>
      </c>
      <c r="N106" s="14">
        <f t="shared" si="21"/>
        <v>2.5628637516343922E-3</v>
      </c>
      <c r="P106">
        <v>114.786964</v>
      </c>
      <c r="Q106" s="14">
        <f t="shared" si="22"/>
        <v>-1.0431307495254893E-2</v>
      </c>
    </row>
    <row r="107" spans="1:17" x14ac:dyDescent="0.2">
      <c r="A107">
        <v>105</v>
      </c>
      <c r="B107" s="1">
        <v>43466</v>
      </c>
      <c r="C107" s="1"/>
      <c r="D107">
        <v>119.226692</v>
      </c>
      <c r="E107" s="14"/>
      <c r="G107">
        <v>39.735827999999998</v>
      </c>
      <c r="H107" s="14"/>
      <c r="J107">
        <v>34.700001</v>
      </c>
      <c r="K107" s="14"/>
      <c r="M107">
        <v>104.76327499999999</v>
      </c>
      <c r="N107" s="14"/>
      <c r="P107">
        <v>115.99696400000001</v>
      </c>
      <c r="Q107" s="14"/>
    </row>
  </sheetData>
  <sortState xmlns:xlrd2="http://schemas.microsoft.com/office/spreadsheetml/2017/richdata2" ref="A3:P107">
    <sortCondition descending="1" ref="A3:A107"/>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48BF87-441D-42BF-AED5-6B5519CDF141}">
  <sheetPr codeName="Sheet2"/>
  <dimension ref="A1:O10"/>
  <sheetViews>
    <sheetView workbookViewId="0">
      <selection activeCell="O11" sqref="O11"/>
    </sheetView>
  </sheetViews>
  <sheetFormatPr baseColWidth="10" defaultColWidth="8.83203125" defaultRowHeight="15" x14ac:dyDescent="0.2"/>
  <cols>
    <col min="1" max="1" width="17.33203125" bestFit="1" customWidth="1"/>
    <col min="2" max="6" width="6" bestFit="1" customWidth="1"/>
    <col min="10" max="10" width="11" bestFit="1" customWidth="1"/>
    <col min="11" max="13" width="6.6640625" bestFit="1" customWidth="1"/>
    <col min="14" max="14" width="6" bestFit="1" customWidth="1"/>
    <col min="15" max="15" width="6.6640625" bestFit="1" customWidth="1"/>
  </cols>
  <sheetData>
    <row r="1" spans="1:15" x14ac:dyDescent="0.2">
      <c r="B1" s="58"/>
      <c r="C1" s="58"/>
      <c r="D1" s="58"/>
      <c r="E1" s="58"/>
      <c r="F1" s="58"/>
      <c r="J1" s="58" t="s">
        <v>10</v>
      </c>
      <c r="K1" s="58"/>
      <c r="L1" s="58"/>
      <c r="M1" s="58"/>
      <c r="N1" s="58"/>
      <c r="O1" s="58"/>
    </row>
    <row r="2" spans="1:15" x14ac:dyDescent="0.2">
      <c r="B2" t="s">
        <v>1</v>
      </c>
      <c r="C2" t="s">
        <v>2</v>
      </c>
      <c r="D2" t="s">
        <v>3</v>
      </c>
      <c r="E2" t="s">
        <v>4</v>
      </c>
      <c r="F2" t="s">
        <v>5</v>
      </c>
      <c r="K2" t="s">
        <v>1</v>
      </c>
      <c r="L2" t="s">
        <v>2</v>
      </c>
      <c r="M2" t="s">
        <v>3</v>
      </c>
      <c r="N2" t="s">
        <v>4</v>
      </c>
      <c r="O2" t="s">
        <v>5</v>
      </c>
    </row>
    <row r="3" spans="1:15" x14ac:dyDescent="0.2">
      <c r="A3" s="3" t="s">
        <v>7</v>
      </c>
      <c r="B3" s="15">
        <f>AVERAGE('Adj. Price &amp; Expected Return'!E3:E106)</f>
        <v>5.2061905306429353E-3</v>
      </c>
      <c r="C3" s="15">
        <f>AVERAGE('Adj. Price &amp; Expected Return'!H3:H106)</f>
        <v>1.8228887412207462E-3</v>
      </c>
      <c r="D3" s="15">
        <f>AVERAGE('Adj. Price &amp; Expected Return'!K3:K106)</f>
        <v>5.0916883849000082E-3</v>
      </c>
      <c r="E3" s="15">
        <f>AVERAGE('Adj. Price &amp; Expected Return'!N3:N106)</f>
        <v>2.6314914640587685E-3</v>
      </c>
      <c r="F3" s="15">
        <f>AVERAGE('Adj. Price &amp; Expected Return'!Q3:Q106)</f>
        <v>3.0652722041294026E-3</v>
      </c>
      <c r="J3" t="s">
        <v>1</v>
      </c>
      <c r="K3" s="15">
        <f>COVAR('Adj. Price &amp; Expected Return'!$E$3:$E$106,'Adj. Price &amp; Expected Return'!$E$3:$E$106)</f>
        <v>2.5539206886731687E-3</v>
      </c>
      <c r="L3" s="15">
        <f>COVAR('Adj. Price &amp; Expected Return'!$E$3:$E$106,'Adj. Price &amp; Expected Return'!$H$3:$H$106)</f>
        <v>1.3440732126193562E-3</v>
      </c>
      <c r="M3" s="15">
        <f>COVAR('Adj. Price &amp; Expected Return'!$E$3:$E$106,'Adj. Price &amp; Expected Return'!$K$3:$K$106)</f>
        <v>1.3009001021553172E-3</v>
      </c>
      <c r="N3" s="15">
        <f>COVAR('Adj. Price &amp; Expected Return'!$E$3:$E$106,'Adj. Price &amp; Expected Return'!$N$3:$N$106)</f>
        <v>2.032219032055111E-4</v>
      </c>
      <c r="O3" s="15">
        <f>COVAR('Adj. Price &amp; Expected Return'!$E$3:$E$106,'Adj. Price &amp; Expected Return'!$Q$3:$Q$106)</f>
        <v>-5.0746902284850616E-4</v>
      </c>
    </row>
    <row r="4" spans="1:15" x14ac:dyDescent="0.2">
      <c r="A4" s="3" t="s">
        <v>8</v>
      </c>
      <c r="B4" s="15">
        <f>STDEV('Adj. Price &amp; Expected Return'!E3:E106)</f>
        <v>5.0781059807423715E-2</v>
      </c>
      <c r="C4" s="15">
        <f>STDEV('Adj. Price &amp; Expected Return'!H3:H106)</f>
        <v>4.2540967712328959E-2</v>
      </c>
      <c r="D4" s="15">
        <f>STDEV('Adj. Price &amp; Expected Return'!K3:K106)</f>
        <v>7.190373400898932E-2</v>
      </c>
      <c r="E4" s="15">
        <f>STDEV('Adj. Price &amp; Expected Return'!N3:N106)</f>
        <v>1.5351373614146109E-2</v>
      </c>
      <c r="F4" s="15">
        <f>STDEV('Adj. Price &amp; Expected Return'!Q3:Q106)</f>
        <v>2.0643455065571741E-2</v>
      </c>
      <c r="J4" t="s">
        <v>2</v>
      </c>
      <c r="K4" s="15">
        <f>COVAR('Adj. Price &amp; Expected Return'!$E$3:$E$106,'Adj. Price &amp; Expected Return'!$H$3:$H$106)</f>
        <v>1.3440732126193562E-3</v>
      </c>
      <c r="L4" s="15">
        <f>COVAR('Adj. Price &amp; Expected Return'!$H$3:$H$106,'Adj. Price &amp; Expected Return'!$H$3:$H$106)</f>
        <v>1.7923326460754401E-3</v>
      </c>
      <c r="M4" s="15">
        <f>COVAR('Adj. Price &amp; Expected Return'!$H$3:$H$106,'Adj. Price &amp; Expected Return'!$K$3:$K$106)</f>
        <v>7.7440201925898101E-4</v>
      </c>
      <c r="N4" s="15">
        <f>COVAR('Adj. Price &amp; Expected Return'!$H$3:$H$106,'Adj. Price &amp; Expected Return'!$N$3:$N$106)</f>
        <v>2.1848864193454537E-4</v>
      </c>
      <c r="O4" s="15">
        <f>COVAR('Adj. Price &amp; Expected Return'!$H$3:$H$106,'Adj. Price &amp; Expected Return'!$Q$3:$Q$106)</f>
        <v>-2.5122907721817787E-4</v>
      </c>
    </row>
    <row r="5" spans="1:15" x14ac:dyDescent="0.2">
      <c r="A5" s="3" t="s">
        <v>9</v>
      </c>
      <c r="B5" s="15">
        <f>VAR('Adj. Price &amp; Expected Return'!E3:E106)</f>
        <v>2.5787160351651442E-3</v>
      </c>
      <c r="C5" s="15">
        <f>VAR('Adj. Price &amp; Expected Return'!H3:H106)</f>
        <v>1.8097339339014152E-3</v>
      </c>
      <c r="D5" s="15">
        <f>VAR('Adj. Price &amp; Expected Return'!K3:K106)</f>
        <v>5.1701469644354877E-3</v>
      </c>
      <c r="E5" s="15">
        <f>VAR('Adj. Price &amp; Expected Return'!N3:N106)</f>
        <v>2.3566467184110135E-4</v>
      </c>
      <c r="F5" s="15">
        <f>VAR('Adj. Price &amp; Expected Return'!Q3:Q106)</f>
        <v>4.2615223704427961E-4</v>
      </c>
      <c r="J5" t="s">
        <v>3</v>
      </c>
      <c r="K5" s="15">
        <f>COVAR('Adj. Price &amp; Expected Return'!$E$3:$E$106,'Adj. Price &amp; Expected Return'!$K$3:$K$106)</f>
        <v>1.3009001021553172E-3</v>
      </c>
      <c r="L5" s="15">
        <f>COVAR('Adj. Price &amp; Expected Return'!$H$3:$H$106,'Adj. Price &amp; Expected Return'!$K$3:$K$106)</f>
        <v>7.7440201925898101E-4</v>
      </c>
      <c r="M5" s="15">
        <f>COVAR('Adj. Price &amp; Expected Return'!$K$3:$K$106,'Adj. Price &amp; Expected Return'!$K$3:$K$106)</f>
        <v>5.1204340128543782E-3</v>
      </c>
      <c r="N5" s="15">
        <f>COVAR('Adj. Price &amp; Expected Return'!$K$3:$K$106,'Adj. Price &amp; Expected Return'!$N$3:$N$106)</f>
        <v>3.9680542214496478E-4</v>
      </c>
      <c r="O5" s="15">
        <f>COVAR('Adj. Price &amp; Expected Return'!$K$3:$K$106,'Adj. Price &amp; Expected Return'!$Q$3:$Q$106)</f>
        <v>-6.4963443602902602E-5</v>
      </c>
    </row>
    <row r="6" spans="1:15" x14ac:dyDescent="0.2">
      <c r="J6" t="s">
        <v>4</v>
      </c>
      <c r="K6" s="15">
        <f>COVAR('Adj. Price &amp; Expected Return'!$E$3:$E$106,'Adj. Price &amp; Expected Return'!$N$3:$N$106)</f>
        <v>2.032219032055111E-4</v>
      </c>
      <c r="L6" s="15">
        <f>COVAR('Adj. Price &amp; Expected Return'!$H$3:$H$106,'Adj. Price &amp; Expected Return'!$N$3:$N$106)</f>
        <v>2.1848864193454537E-4</v>
      </c>
      <c r="M6" s="15">
        <f>COVAR('Adj. Price &amp; Expected Return'!$K$3:$K$106,'Adj. Price &amp; Expected Return'!$N$3:$N$106)</f>
        <v>3.9680542214496478E-4</v>
      </c>
      <c r="N6" s="15">
        <f>COVAR('Adj. Price &amp; Expected Return'!$N$3:$N$106,'Adj. Price &amp; Expected Return'!$N$3:$N$106)</f>
        <v>2.3339866538109075E-4</v>
      </c>
      <c r="O6" s="15">
        <f>COVAR('Adj. Price &amp; Expected Return'!$N$3:$N$106,'Adj. Price &amp; Expected Return'!$Q$3:$Q$106)</f>
        <v>6.9959794331307218E-5</v>
      </c>
    </row>
    <row r="7" spans="1:15" x14ac:dyDescent="0.2">
      <c r="J7" t="s">
        <v>5</v>
      </c>
      <c r="K7" s="15">
        <f>COVAR('Adj. Price &amp; Expected Return'!$E$3:$E$106,'Adj. Price &amp; Expected Return'!$Q$3:$Q$106)</f>
        <v>-5.0746902284850616E-4</v>
      </c>
      <c r="L7" s="15">
        <f>COVAR('Adj. Price &amp; Expected Return'!$H$3:$H$106,'Adj. Price &amp; Expected Return'!$Q$3:$Q$106)</f>
        <v>-2.5122907721817787E-4</v>
      </c>
      <c r="M7" s="15">
        <f>COVAR('Adj. Price &amp; Expected Return'!$K$3:$K$106,'Adj. Price &amp; Expected Return'!$Q$3:$Q$106)</f>
        <v>-6.4963443602902602E-5</v>
      </c>
      <c r="N7" s="15">
        <f>COVAR('Adj. Price &amp; Expected Return'!$N$3:$N$106,'Adj. Price &amp; Expected Return'!$Q$3:$Q$106)</f>
        <v>6.9959794331307218E-5</v>
      </c>
      <c r="O7" s="15">
        <f>COVAR('Adj. Price &amp; Expected Return'!$Q$3:$Q$106,'Adj. Price &amp; Expected Return'!$Q$3:$Q$106)</f>
        <v>4.2205461938039218E-4</v>
      </c>
    </row>
    <row r="10" spans="1:15" x14ac:dyDescent="0.2">
      <c r="J10" s="8"/>
    </row>
  </sheetData>
  <mergeCells count="2">
    <mergeCell ref="B1:F1"/>
    <mergeCell ref="J1:O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C8B4A-2D1D-4308-805B-ACF81E2AD285}">
  <sheetPr codeName="Sheet3"/>
  <dimension ref="B1:O4"/>
  <sheetViews>
    <sheetView workbookViewId="0">
      <selection activeCell="D4" sqref="D4"/>
    </sheetView>
  </sheetViews>
  <sheetFormatPr baseColWidth="10" defaultColWidth="8.83203125" defaultRowHeight="15" x14ac:dyDescent="0.2"/>
  <cols>
    <col min="2" max="2" width="16.5" bestFit="1" customWidth="1"/>
    <col min="3" max="7" width="6" bestFit="1" customWidth="1"/>
    <col min="10" max="10" width="11.5" bestFit="1" customWidth="1"/>
    <col min="11" max="11" width="11.1640625" bestFit="1" customWidth="1"/>
    <col min="12" max="12" width="8.1640625" bestFit="1" customWidth="1"/>
    <col min="13" max="13" width="7.83203125" bestFit="1" customWidth="1"/>
  </cols>
  <sheetData>
    <row r="1" spans="2:15" x14ac:dyDescent="0.2">
      <c r="I1" s="58" t="s">
        <v>13</v>
      </c>
      <c r="J1" s="58"/>
      <c r="K1" s="58"/>
      <c r="L1" s="58"/>
      <c r="M1" s="58"/>
      <c r="N1" s="58"/>
      <c r="O1" s="58"/>
    </row>
    <row r="2" spans="2:15" x14ac:dyDescent="0.2">
      <c r="C2" s="5" t="s">
        <v>1</v>
      </c>
      <c r="D2" s="5" t="s">
        <v>2</v>
      </c>
      <c r="E2" t="s">
        <v>3</v>
      </c>
      <c r="F2" t="s">
        <v>4</v>
      </c>
      <c r="G2" t="s">
        <v>5</v>
      </c>
      <c r="J2" t="s">
        <v>43</v>
      </c>
      <c r="K2" t="s">
        <v>44</v>
      </c>
      <c r="L2" t="s">
        <v>11</v>
      </c>
      <c r="M2" t="s">
        <v>12</v>
      </c>
    </row>
    <row r="3" spans="2:15" x14ac:dyDescent="0.2">
      <c r="B3" t="s">
        <v>7</v>
      </c>
      <c r="C3" s="7">
        <v>5.2061905306429353E-3</v>
      </c>
      <c r="D3" s="7">
        <v>1.8228887412207462E-3</v>
      </c>
      <c r="E3" s="7">
        <v>5.0916883849000082E-3</v>
      </c>
      <c r="F3" s="7">
        <v>2.6314914640587685E-3</v>
      </c>
      <c r="G3" s="7">
        <v>3.0652722041294026E-3</v>
      </c>
      <c r="J3" s="14" t="str">
        <f>INDEX($C$2:$G$4,1,MATCH(MAX($C$3:$G$3),$C$3:$G$3,0))</f>
        <v>CAT</v>
      </c>
      <c r="K3" s="14" t="str">
        <f>INDEX($C$2:$G$4,1,MATCH(MIN($C$3:$G$3),$C$3:$G$3,0))</f>
        <v>CSCO</v>
      </c>
      <c r="L3" s="14" t="str">
        <f>INDEX($C$2:$G$4,1,MATCH(MAX($C$4:$G$4),$C$4:$G$4,0))</f>
        <v>ANIK</v>
      </c>
      <c r="M3" s="14" t="str">
        <f>INDEX($C$2:$G$4,1,MATCH(MIN($C$4:$G$4),$C$4:$G$4,0))</f>
        <v>LQD</v>
      </c>
    </row>
    <row r="4" spans="2:15" x14ac:dyDescent="0.2">
      <c r="B4" t="s">
        <v>8</v>
      </c>
      <c r="C4" s="7">
        <v>5.0781059807423715E-2</v>
      </c>
      <c r="D4" s="7">
        <v>4.2540967712328959E-2</v>
      </c>
      <c r="E4" s="7">
        <v>7.190373400898932E-2</v>
      </c>
      <c r="F4" s="7">
        <v>1.5351373614146109E-2</v>
      </c>
      <c r="G4" s="7">
        <v>2.0643455065571741E-2</v>
      </c>
    </row>
  </sheetData>
  <mergeCells count="1">
    <mergeCell ref="I1:O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F86BE-F304-420D-A516-3F29043BD7F5}">
  <sheetPr codeName="Sheet4"/>
  <dimension ref="A4:O60"/>
  <sheetViews>
    <sheetView zoomScale="80" workbookViewId="0">
      <selection activeCell="P18" sqref="P18"/>
    </sheetView>
  </sheetViews>
  <sheetFormatPr baseColWidth="10" defaultColWidth="8.83203125" defaultRowHeight="15" x14ac:dyDescent="0.2"/>
  <cols>
    <col min="1" max="1" width="5.5" bestFit="1" customWidth="1"/>
    <col min="2" max="2" width="6.6640625" bestFit="1" customWidth="1"/>
    <col min="3" max="3" width="7.5" bestFit="1" customWidth="1"/>
    <col min="4" max="5" width="8" bestFit="1" customWidth="1"/>
    <col min="6" max="7" width="7" bestFit="1" customWidth="1"/>
    <col min="8" max="8" width="9.1640625" customWidth="1"/>
    <col min="9" max="10" width="7.5" bestFit="1" customWidth="1"/>
    <col min="11" max="11" width="8" bestFit="1" customWidth="1"/>
    <col min="12" max="13" width="5.5" bestFit="1" customWidth="1"/>
    <col min="15" max="15" width="9" bestFit="1" customWidth="1"/>
  </cols>
  <sheetData>
    <row r="4" spans="1:15" x14ac:dyDescent="0.2">
      <c r="A4" s="59" t="s">
        <v>14</v>
      </c>
      <c r="B4" s="59"/>
      <c r="C4" t="s">
        <v>20</v>
      </c>
      <c r="D4" t="s">
        <v>21</v>
      </c>
    </row>
    <row r="5" spans="1:15" x14ac:dyDescent="0.2">
      <c r="B5" t="s">
        <v>1</v>
      </c>
      <c r="C5" s="13">
        <v>5.2061905306429353E-3</v>
      </c>
      <c r="D5" s="13">
        <v>5.0781059807423715E-2</v>
      </c>
      <c r="J5" s="9"/>
    </row>
    <row r="6" spans="1:15" x14ac:dyDescent="0.2">
      <c r="B6" t="s">
        <v>2</v>
      </c>
      <c r="C6" s="13">
        <v>1.8228887412207462E-3</v>
      </c>
      <c r="D6" s="13">
        <v>4.2540967712328959E-2</v>
      </c>
    </row>
    <row r="7" spans="1:15" x14ac:dyDescent="0.2">
      <c r="B7" t="s">
        <v>3</v>
      </c>
      <c r="C7" s="13">
        <v>5.0916883849000082E-3</v>
      </c>
      <c r="D7" s="13">
        <v>7.190373400898932E-2</v>
      </c>
    </row>
    <row r="8" spans="1:15" x14ac:dyDescent="0.2">
      <c r="B8" t="s">
        <v>4</v>
      </c>
      <c r="C8" s="13">
        <v>2.6314914640587685E-3</v>
      </c>
      <c r="D8" s="13">
        <v>1.5351373614146109E-2</v>
      </c>
    </row>
    <row r="9" spans="1:15" x14ac:dyDescent="0.2">
      <c r="B9" t="s">
        <v>5</v>
      </c>
      <c r="C9" s="13">
        <v>3.0652722041294026E-3</v>
      </c>
      <c r="D9" s="13">
        <v>2.0643455065571741E-2</v>
      </c>
      <c r="H9" s="59" t="s">
        <v>33</v>
      </c>
      <c r="I9" s="59"/>
      <c r="J9" s="59"/>
      <c r="K9" s="59"/>
      <c r="L9" s="59"/>
      <c r="M9" s="59"/>
    </row>
    <row r="10" spans="1:15" x14ac:dyDescent="0.2">
      <c r="I10" t="s">
        <v>1</v>
      </c>
      <c r="J10" t="s">
        <v>2</v>
      </c>
      <c r="K10" t="s">
        <v>3</v>
      </c>
      <c r="L10" t="s">
        <v>4</v>
      </c>
      <c r="M10" t="s">
        <v>5</v>
      </c>
    </row>
    <row r="11" spans="1:15" x14ac:dyDescent="0.2">
      <c r="H11" t="s">
        <v>40</v>
      </c>
      <c r="I11" s="16">
        <v>0</v>
      </c>
      <c r="J11" s="16">
        <v>0</v>
      </c>
      <c r="K11" s="16">
        <v>0</v>
      </c>
      <c r="L11" s="16">
        <v>0</v>
      </c>
      <c r="M11" s="16">
        <v>0</v>
      </c>
      <c r="O11" s="6"/>
    </row>
    <row r="12" spans="1:15" x14ac:dyDescent="0.2">
      <c r="A12" s="59" t="s">
        <v>10</v>
      </c>
      <c r="B12" s="59"/>
      <c r="C12" s="59"/>
      <c r="D12" s="59"/>
      <c r="E12" s="59"/>
      <c r="F12" s="59"/>
      <c r="H12" t="s">
        <v>39</v>
      </c>
      <c r="I12" s="16">
        <v>0.99998798504963338</v>
      </c>
      <c r="J12" s="17">
        <v>5.2384185791015625E-7</v>
      </c>
      <c r="K12" s="16">
        <v>1.1672865959770683E-5</v>
      </c>
      <c r="L12" s="16">
        <v>-1.817574511300519E-7</v>
      </c>
      <c r="M12" s="16">
        <f>1-SUM(I12:L12)</f>
        <v>0</v>
      </c>
    </row>
    <row r="13" spans="1:15" x14ac:dyDescent="0.2">
      <c r="B13" t="s">
        <v>1</v>
      </c>
      <c r="C13" t="s">
        <v>2</v>
      </c>
      <c r="D13" t="s">
        <v>3</v>
      </c>
      <c r="E13" t="s">
        <v>4</v>
      </c>
      <c r="F13" t="s">
        <v>5</v>
      </c>
      <c r="H13" t="s">
        <v>41</v>
      </c>
      <c r="I13" s="16">
        <v>1</v>
      </c>
      <c r="J13" s="16">
        <v>1</v>
      </c>
      <c r="K13" s="16">
        <v>1</v>
      </c>
      <c r="L13" s="16">
        <v>1</v>
      </c>
      <c r="M13" s="16">
        <v>1</v>
      </c>
    </row>
    <row r="14" spans="1:15" x14ac:dyDescent="0.2">
      <c r="A14" t="s">
        <v>1</v>
      </c>
      <c r="B14" s="7">
        <f>COVAR('Adj. Price &amp; Expected Return'!$E$3:$E$106,'Adj. Price &amp; Expected Return'!$E$3:$E$106)</f>
        <v>2.5539206886731687E-3</v>
      </c>
      <c r="C14" s="7">
        <f>COVAR('Adj. Price &amp; Expected Return'!$E$3:$E$106,'Adj. Price &amp; Expected Return'!$H$3:$H$106)</f>
        <v>1.3440732126193562E-3</v>
      </c>
      <c r="D14" s="7">
        <f>COVAR('Adj. Price &amp; Expected Return'!$E$3:$E$106,'Adj. Price &amp; Expected Return'!$K$3:$K$106)</f>
        <v>1.3009001021553172E-3</v>
      </c>
      <c r="E14" s="7">
        <f>COVAR('Adj. Price &amp; Expected Return'!$E$3:$E$106,'Adj. Price &amp; Expected Return'!$N$3:$N$106)</f>
        <v>2.032219032055111E-4</v>
      </c>
      <c r="F14" s="7">
        <f>COVAR('Adj. Price &amp; Expected Return'!$E$3:$E$106,'Adj. Price &amp; Expected Return'!$Q$3:$Q$106)</f>
        <v>-5.0746902284850616E-4</v>
      </c>
      <c r="J14" s="10"/>
    </row>
    <row r="15" spans="1:15" x14ac:dyDescent="0.2">
      <c r="A15" t="s">
        <v>2</v>
      </c>
      <c r="B15" s="7">
        <f>COVAR('Adj. Price &amp; Expected Return'!$E$3:$E$106,'Adj. Price &amp; Expected Return'!$H$3:$H$106)</f>
        <v>1.3440732126193562E-3</v>
      </c>
      <c r="C15" s="7">
        <f>COVAR('Adj. Price &amp; Expected Return'!$H$3:$H$106,'Adj. Price &amp; Expected Return'!$H$3:$H$106)</f>
        <v>1.7923326460754401E-3</v>
      </c>
      <c r="D15" s="7">
        <f>COVAR('Adj. Price &amp; Expected Return'!$H$3:$H$106,'Adj. Price &amp; Expected Return'!$K$3:$K$106)</f>
        <v>7.7440201925898101E-4</v>
      </c>
      <c r="E15" s="7">
        <f>COVAR('Adj. Price &amp; Expected Return'!$H$3:$H$106,'Adj. Price &amp; Expected Return'!$N$3:$N$106)</f>
        <v>2.1848864193454537E-4</v>
      </c>
      <c r="F15" s="7">
        <f>COVAR('Adj. Price &amp; Expected Return'!$H$3:$H$106,'Adj. Price &amp; Expected Return'!$Q$3:$Q$106)</f>
        <v>-2.5122907721817787E-4</v>
      </c>
    </row>
    <row r="16" spans="1:15" x14ac:dyDescent="0.2">
      <c r="A16" t="s">
        <v>3</v>
      </c>
      <c r="B16" s="7">
        <f>COVAR('Adj. Price &amp; Expected Return'!$E$3:$E$106,'Adj. Price &amp; Expected Return'!$K$3:$K$106)</f>
        <v>1.3009001021553172E-3</v>
      </c>
      <c r="C16" s="7">
        <f>COVAR('Adj. Price &amp; Expected Return'!$H$3:$H$106,'Adj. Price &amp; Expected Return'!$K$3:$K$106)</f>
        <v>7.7440201925898101E-4</v>
      </c>
      <c r="D16" s="7">
        <f>COVAR('Adj. Price &amp; Expected Return'!$K$3:$K$106,'Adj. Price &amp; Expected Return'!$K$3:$K$106)</f>
        <v>5.1204340128543782E-3</v>
      </c>
      <c r="E16" s="7">
        <f>COVAR('Adj. Price &amp; Expected Return'!$K$3:$K$106,'Adj. Price &amp; Expected Return'!$N$3:$N$106)</f>
        <v>3.9680542214496478E-4</v>
      </c>
      <c r="F16" s="7">
        <f>COVAR('Adj. Price &amp; Expected Return'!$K$3:$K$106,'Adj. Price &amp; Expected Return'!$Q$3:$Q$106)</f>
        <v>-6.4963443602902602E-5</v>
      </c>
    </row>
    <row r="17" spans="1:12" x14ac:dyDescent="0.2">
      <c r="A17" t="s">
        <v>4</v>
      </c>
      <c r="B17" s="7">
        <f>COVAR('Adj. Price &amp; Expected Return'!$E$3:$E$106,'Adj. Price &amp; Expected Return'!$N$3:$N$106)</f>
        <v>2.032219032055111E-4</v>
      </c>
      <c r="C17" s="7">
        <f>COVAR('Adj. Price &amp; Expected Return'!$H$3:$H$106,'Adj. Price &amp; Expected Return'!$N$3:$N$106)</f>
        <v>2.1848864193454537E-4</v>
      </c>
      <c r="D17" s="7">
        <f>COVAR('Adj. Price &amp; Expected Return'!$K$3:$K$106,'Adj. Price &amp; Expected Return'!$N$3:$N$106)</f>
        <v>3.9680542214496478E-4</v>
      </c>
      <c r="E17" s="7">
        <f>COVAR('Adj. Price &amp; Expected Return'!$N$3:$N$106,'Adj. Price &amp; Expected Return'!$N$3:$N$106)</f>
        <v>2.3339866538109075E-4</v>
      </c>
      <c r="F17" s="7">
        <f>COVAR('Adj. Price &amp; Expected Return'!$N$3:$N$106,'Adj. Price &amp; Expected Return'!$Q$3:$Q$106)</f>
        <v>6.9959794331307218E-5</v>
      </c>
      <c r="I17" t="s">
        <v>20</v>
      </c>
      <c r="J17" s="18">
        <f>PortfolioReturn(portwts1,C5:C9)</f>
        <v>5.2061878897303798E-3</v>
      </c>
      <c r="K17" t="s">
        <v>34</v>
      </c>
    </row>
    <row r="18" spans="1:12" x14ac:dyDescent="0.2">
      <c r="A18" t="s">
        <v>5</v>
      </c>
      <c r="B18" s="7">
        <f>COVAR('Adj. Price &amp; Expected Return'!$E$3:$E$106,'Adj. Price &amp; Expected Return'!$Q$3:$Q$106)</f>
        <v>-5.0746902284850616E-4</v>
      </c>
      <c r="C18" s="7">
        <f>COVAR('Adj. Price &amp; Expected Return'!$H$3:$H$106,'Adj. Price &amp; Expected Return'!$Q$3:$Q$106)</f>
        <v>-2.5122907721817787E-4</v>
      </c>
      <c r="D18" s="7">
        <f>COVAR('Adj. Price &amp; Expected Return'!$K$3:$K$106,'Adj. Price &amp; Expected Return'!$Q$3:$Q$106)</f>
        <v>-6.4963443602902602E-5</v>
      </c>
      <c r="E18" s="7">
        <f>COVAR('Adj. Price &amp; Expected Return'!$N$3:$N$106,'Adj. Price &amp; Expected Return'!$Q$3:$Q$106)</f>
        <v>6.9959794331307218E-5</v>
      </c>
      <c r="F18" s="7">
        <f>COVAR('Adj. Price &amp; Expected Return'!$Q$3:$Q$106,'Adj. Price &amp; Expected Return'!$Q$3:$Q$106)</f>
        <v>4.2205461938039218E-4</v>
      </c>
      <c r="I18" t="s">
        <v>21</v>
      </c>
      <c r="J18" s="18">
        <f>PortfolioVariance(portwts1,B14:F18)</f>
        <v>2.5538910236606893E-3</v>
      </c>
      <c r="K18" t="s">
        <v>35</v>
      </c>
    </row>
    <row r="20" spans="1:12" x14ac:dyDescent="0.2">
      <c r="I20" s="60" t="s">
        <v>42</v>
      </c>
      <c r="J20" s="59"/>
      <c r="K20" s="59"/>
      <c r="L20" s="59"/>
    </row>
    <row r="21" spans="1:12" x14ac:dyDescent="0.2">
      <c r="I21" t="s">
        <v>36</v>
      </c>
      <c r="J21" s="14">
        <v>30</v>
      </c>
    </row>
    <row r="22" spans="1:12" x14ac:dyDescent="0.2">
      <c r="I22" t="s">
        <v>37</v>
      </c>
      <c r="J22" s="15">
        <v>5.3228561096201246E-3</v>
      </c>
    </row>
    <row r="25" spans="1:12" x14ac:dyDescent="0.2">
      <c r="D25" t="s">
        <v>1</v>
      </c>
      <c r="E25" t="s">
        <v>2</v>
      </c>
      <c r="F25" t="s">
        <v>3</v>
      </c>
      <c r="G25" t="s">
        <v>4</v>
      </c>
      <c r="H25" t="s">
        <v>5</v>
      </c>
      <c r="J25" t="s">
        <v>21</v>
      </c>
      <c r="K25" t="s">
        <v>20</v>
      </c>
    </row>
    <row r="26" spans="1:12" x14ac:dyDescent="0.2">
      <c r="C26" t="s">
        <v>38</v>
      </c>
    </row>
    <row r="27" spans="1:12" x14ac:dyDescent="0.2">
      <c r="D27" s="15">
        <v>2.3841857910156248E-8</v>
      </c>
      <c r="E27" s="15">
        <v>0.99999997615814196</v>
      </c>
      <c r="F27" s="15">
        <v>0</v>
      </c>
      <c r="G27" s="15">
        <v>0</v>
      </c>
      <c r="H27" s="15">
        <v>0</v>
      </c>
      <c r="J27" s="12">
        <f>SQRT(PortfolioVariance(D27:H27,$B$14:$F$18))</f>
        <v>4.2335949554731439E-2</v>
      </c>
      <c r="K27" s="12">
        <f>PortfolioReturn(D27:H27,$C$5:$C$9)</f>
        <v>1.8228888218849463E-3</v>
      </c>
    </row>
    <row r="28" spans="1:12" x14ac:dyDescent="0.2">
      <c r="D28" s="15">
        <v>0</v>
      </c>
      <c r="E28" s="15">
        <v>0.85571908459279311</v>
      </c>
      <c r="F28" s="15">
        <v>0</v>
      </c>
      <c r="G28" s="15">
        <v>0.14428091540720683</v>
      </c>
      <c r="H28" s="15">
        <v>0</v>
      </c>
      <c r="J28" s="12">
        <f t="shared" ref="J28:J56" si="0">SQRT(PortfolioVariance(D28:H28,$B$14:$F$18))</f>
        <v>3.7030452383058514E-2</v>
      </c>
      <c r="K28" s="12">
        <f t="shared" ref="K28:K56" si="1">PortfolioReturn(D28:H28,$C$5:$C$9)</f>
        <v>1.9395546822725759E-3</v>
      </c>
    </row>
    <row r="29" spans="1:12" x14ac:dyDescent="0.2">
      <c r="D29" s="15">
        <v>0</v>
      </c>
      <c r="E29" s="15">
        <v>0.71143906587550232</v>
      </c>
      <c r="F29" s="15">
        <v>0</v>
      </c>
      <c r="G29" s="15">
        <v>0.28856093412440187</v>
      </c>
      <c r="H29" s="15">
        <v>9.5812247025151009E-14</v>
      </c>
      <c r="J29" s="12">
        <f t="shared" si="0"/>
        <v>3.1879841457752849E-2</v>
      </c>
      <c r="K29" s="12">
        <f t="shared" si="1"/>
        <v>2.0562198982585398E-3</v>
      </c>
    </row>
    <row r="30" spans="1:12" x14ac:dyDescent="0.2">
      <c r="D30" s="15">
        <v>0</v>
      </c>
      <c r="E30" s="15">
        <v>0.56715859824624504</v>
      </c>
      <c r="F30" s="15">
        <v>0</v>
      </c>
      <c r="G30" s="15">
        <v>0.43284140175366548</v>
      </c>
      <c r="H30" s="15">
        <v>8.9483975784787617E-14</v>
      </c>
      <c r="J30" s="12">
        <f t="shared" si="0"/>
        <v>2.6972925147049985E-2</v>
      </c>
      <c r="K30" s="12">
        <f t="shared" si="1"/>
        <v>2.1728854772358973E-3</v>
      </c>
    </row>
    <row r="31" spans="1:12" x14ac:dyDescent="0.2">
      <c r="D31" s="15">
        <v>0</v>
      </c>
      <c r="E31" s="15">
        <v>0.42287544388534537</v>
      </c>
      <c r="F31" s="15">
        <v>0</v>
      </c>
      <c r="G31" s="15">
        <v>0.57712455522279471</v>
      </c>
      <c r="H31" s="15">
        <v>8.9185991924978225E-10</v>
      </c>
      <c r="J31" s="12">
        <f t="shared" si="0"/>
        <v>2.2469874926755645E-2</v>
      </c>
      <c r="K31" s="12">
        <f t="shared" si="1"/>
        <v>2.2895532290986122E-3</v>
      </c>
    </row>
    <row r="32" spans="1:12" x14ac:dyDescent="0.2">
      <c r="D32" s="15">
        <v>0</v>
      </c>
      <c r="E32" s="15">
        <v>0.29468581541306715</v>
      </c>
      <c r="F32" s="15">
        <v>0</v>
      </c>
      <c r="G32" s="15">
        <v>0.67532455483078824</v>
      </c>
      <c r="H32" s="15">
        <v>2.9989629756144609E-2</v>
      </c>
      <c r="J32" s="12">
        <f t="shared" si="0"/>
        <v>1.8650075554984623E-2</v>
      </c>
      <c r="K32" s="12">
        <f t="shared" si="1"/>
        <v>2.4062166351240845E-3</v>
      </c>
    </row>
    <row r="33" spans="4:11" x14ac:dyDescent="0.2">
      <c r="D33" s="15">
        <v>0</v>
      </c>
      <c r="E33" s="15">
        <v>0.21601338384529775</v>
      </c>
      <c r="F33" s="15">
        <v>0</v>
      </c>
      <c r="G33" s="15">
        <v>0.63169270553728385</v>
      </c>
      <c r="H33" s="15">
        <v>0.15229391061741837</v>
      </c>
      <c r="J33" s="12">
        <f t="shared" si="0"/>
        <v>1.5592148892691466E-2</v>
      </c>
      <c r="K33" s="12">
        <f t="shared" si="1"/>
        <v>2.5228846189678808E-3</v>
      </c>
    </row>
    <row r="34" spans="4:11" x14ac:dyDescent="0.2">
      <c r="D34" s="15">
        <v>0</v>
      </c>
      <c r="E34" s="15">
        <v>0.13734247191744317</v>
      </c>
      <c r="F34" s="15">
        <v>0</v>
      </c>
      <c r="G34" s="15">
        <v>0.58806177708226515</v>
      </c>
      <c r="H34" s="15">
        <v>0.27459575100029165</v>
      </c>
      <c r="J34" s="12">
        <f t="shared" si="0"/>
        <v>1.3611883339543995E-2</v>
      </c>
      <c r="K34" s="12">
        <f t="shared" si="1"/>
        <v>2.6395503153941774E-3</v>
      </c>
    </row>
    <row r="35" spans="4:11" x14ac:dyDescent="0.2">
      <c r="D35" s="15">
        <v>1.5287844624655754E-2</v>
      </c>
      <c r="E35" s="15">
        <v>8.4287986460440556E-2</v>
      </c>
      <c r="F35" s="15">
        <v>0</v>
      </c>
      <c r="G35" s="15">
        <v>0.54651624030013224</v>
      </c>
      <c r="H35" s="15">
        <v>0.35390792861477149</v>
      </c>
      <c r="J35" s="12">
        <f t="shared" si="0"/>
        <v>1.3018321167462802E-2</v>
      </c>
      <c r="K35" s="12">
        <f t="shared" si="1"/>
        <v>2.7562160111808875E-3</v>
      </c>
    </row>
    <row r="36" spans="4:11" x14ac:dyDescent="0.2">
      <c r="D36" s="15">
        <v>4.7814054919540092E-2</v>
      </c>
      <c r="E36" s="15">
        <v>6.0119339290764191E-2</v>
      </c>
      <c r="F36" s="15">
        <v>0</v>
      </c>
      <c r="G36" s="15">
        <v>0.50732534710124355</v>
      </c>
      <c r="H36" s="15">
        <v>0.38474125868845221</v>
      </c>
      <c r="J36" s="12">
        <f t="shared" si="0"/>
        <v>1.2759148268206131E-2</v>
      </c>
      <c r="K36" s="12">
        <f t="shared" si="1"/>
        <v>2.8728789531135617E-3</v>
      </c>
    </row>
    <row r="37" spans="4:11" x14ac:dyDescent="0.2">
      <c r="D37" s="15">
        <v>8.0341000325130377E-2</v>
      </c>
      <c r="E37" s="15">
        <v>3.5950521150908001E-2</v>
      </c>
      <c r="F37" s="15">
        <v>0</v>
      </c>
      <c r="G37" s="15">
        <v>0.46813249325208312</v>
      </c>
      <c r="H37" s="15">
        <v>0.41557598527187856</v>
      </c>
      <c r="J37" s="12">
        <f t="shared" si="0"/>
        <v>1.2612389543556124E-2</v>
      </c>
      <c r="K37" s="12">
        <f t="shared" si="1"/>
        <v>2.9895445317610686E-3</v>
      </c>
    </row>
    <row r="38" spans="4:11" x14ac:dyDescent="0.2">
      <c r="D38" s="15">
        <v>0.11286876221638302</v>
      </c>
      <c r="E38" s="15">
        <v>1.1780912228592916E-2</v>
      </c>
      <c r="F38" s="15">
        <v>0</v>
      </c>
      <c r="G38" s="15">
        <v>0.42893904735738336</v>
      </c>
      <c r="H38" s="15">
        <v>0.4464112781976407</v>
      </c>
      <c r="J38" s="12">
        <f t="shared" si="0"/>
        <v>1.2581987326765043E-2</v>
      </c>
      <c r="K38" s="12">
        <f t="shared" si="1"/>
        <v>3.1062130977106946E-3</v>
      </c>
    </row>
    <row r="39" spans="4:11" x14ac:dyDescent="0.2">
      <c r="D39" s="15">
        <v>0.14711302239314741</v>
      </c>
      <c r="E39" s="15">
        <v>0</v>
      </c>
      <c r="F39" s="15">
        <v>0</v>
      </c>
      <c r="G39" s="15">
        <v>0.36274888751851386</v>
      </c>
      <c r="H39" s="15">
        <v>0.49013809008833875</v>
      </c>
      <c r="J39" s="12">
        <f t="shared" si="0"/>
        <v>1.2679178331572602E-2</v>
      </c>
      <c r="K39" s="12">
        <f t="shared" si="1"/>
        <v>3.2228756889521072E-3</v>
      </c>
    </row>
    <row r="40" spans="4:11" x14ac:dyDescent="0.2">
      <c r="D40" s="15">
        <v>0.18299322428863218</v>
      </c>
      <c r="E40" s="15">
        <v>0</v>
      </c>
      <c r="F40" s="15">
        <v>0</v>
      </c>
      <c r="G40" s="15">
        <v>0.27087708495545948</v>
      </c>
      <c r="H40" s="15">
        <v>0.54612969075590834</v>
      </c>
      <c r="J40" s="12">
        <f t="shared" si="0"/>
        <v>1.2959292085386426E-2</v>
      </c>
      <c r="K40" s="12">
        <f t="shared" si="1"/>
        <v>3.3395444892565813E-3</v>
      </c>
    </row>
    <row r="41" spans="4:11" x14ac:dyDescent="0.2">
      <c r="D41" s="15">
        <v>0.21887144517150328</v>
      </c>
      <c r="E41" s="15">
        <v>0</v>
      </c>
      <c r="F41" s="15">
        <v>0</v>
      </c>
      <c r="G41" s="15">
        <v>0.17901035769219992</v>
      </c>
      <c r="H41" s="15">
        <v>0.60211819713629677</v>
      </c>
      <c r="J41" s="12">
        <f t="shared" si="0"/>
        <v>1.3419728727453843E-2</v>
      </c>
      <c r="K41" s="12">
        <f t="shared" si="1"/>
        <v>3.4562068468075445E-3</v>
      </c>
    </row>
    <row r="42" spans="4:11" x14ac:dyDescent="0.2">
      <c r="D42" s="15">
        <v>0.25445966526799046</v>
      </c>
      <c r="E42" s="15">
        <v>0</v>
      </c>
      <c r="F42" s="15">
        <v>3.0743263958994541E-4</v>
      </c>
      <c r="G42" s="15">
        <v>8.7141087853504495E-2</v>
      </c>
      <c r="H42" s="15">
        <v>0.65809181423891516</v>
      </c>
      <c r="J42" s="12">
        <f t="shared" si="0"/>
        <v>1.4042774070779654E-2</v>
      </c>
      <c r="K42" s="12">
        <f t="shared" si="1"/>
        <v>3.5728724257558515E-3</v>
      </c>
    </row>
    <row r="43" spans="4:11" x14ac:dyDescent="0.2">
      <c r="D43" s="15">
        <v>0.28398911624421797</v>
      </c>
      <c r="E43" s="15">
        <v>0</v>
      </c>
      <c r="F43" s="15">
        <v>8.029871881858771E-3</v>
      </c>
      <c r="G43" s="15">
        <v>0</v>
      </c>
      <c r="H43" s="15">
        <v>0.70798101187392326</v>
      </c>
      <c r="J43" s="12">
        <f t="shared" si="0"/>
        <v>1.4798142121273162E-2</v>
      </c>
      <c r="K43" s="12">
        <f t="shared" si="1"/>
        <v>3.6895415699379442E-3</v>
      </c>
    </row>
    <row r="44" spans="4:11" x14ac:dyDescent="0.2">
      <c r="D44" s="15">
        <v>0.32288988974302946</v>
      </c>
      <c r="E44" s="15">
        <v>0</v>
      </c>
      <c r="F44" s="15">
        <v>2.4503447962271999E-2</v>
      </c>
      <c r="G44" s="15">
        <v>0</v>
      </c>
      <c r="H44" s="15">
        <v>0.65260666229469855</v>
      </c>
      <c r="J44" s="12">
        <f t="shared" si="0"/>
        <v>1.5928955318821849E-2</v>
      </c>
      <c r="K44" s="12">
        <f t="shared" si="1"/>
        <v>3.8062072699616067E-3</v>
      </c>
    </row>
    <row r="45" spans="4:11" x14ac:dyDescent="0.2">
      <c r="D45" s="15">
        <v>0.3617894001046113</v>
      </c>
      <c r="E45" s="15">
        <v>0</v>
      </c>
      <c r="F45" s="15">
        <v>4.0976479639186193E-2</v>
      </c>
      <c r="G45" s="15">
        <v>0</v>
      </c>
      <c r="H45" s="15">
        <v>0.59723412025620248</v>
      </c>
      <c r="J45" s="12">
        <f t="shared" si="0"/>
        <v>1.759310442215779E-2</v>
      </c>
      <c r="K45" s="12">
        <f t="shared" si="1"/>
        <v>3.9228691625235665E-3</v>
      </c>
    </row>
    <row r="46" spans="4:11" x14ac:dyDescent="0.2">
      <c r="D46" s="15">
        <v>0.40069012288532119</v>
      </c>
      <c r="E46" s="15">
        <v>0</v>
      </c>
      <c r="F46" s="15">
        <v>5.7450048885161642E-2</v>
      </c>
      <c r="G46" s="15">
        <v>0</v>
      </c>
      <c r="H46" s="15">
        <v>0.54185982822951717</v>
      </c>
      <c r="J46" s="12">
        <f t="shared" si="0"/>
        <v>1.9655677980658582E-2</v>
      </c>
      <c r="K46" s="12">
        <f t="shared" si="1"/>
        <v>4.0395347401145001E-3</v>
      </c>
    </row>
    <row r="47" spans="4:11" x14ac:dyDescent="0.2">
      <c r="D47" s="15">
        <v>0.439590861581864</v>
      </c>
      <c r="E47" s="15">
        <v>0</v>
      </c>
      <c r="F47" s="15">
        <v>7.392360269217807E-2</v>
      </c>
      <c r="G47" s="15">
        <v>0</v>
      </c>
      <c r="H47" s="15">
        <v>0.48648553572595787</v>
      </c>
      <c r="J47" s="12">
        <f t="shared" si="0"/>
        <v>2.2004891532122896E-2</v>
      </c>
      <c r="K47" s="12">
        <f t="shared" si="1"/>
        <v>4.156200320494176E-3</v>
      </c>
    </row>
    <row r="48" spans="4:11" x14ac:dyDescent="0.2">
      <c r="D48" s="15">
        <v>0.47849296209643261</v>
      </c>
      <c r="E48" s="15">
        <v>0</v>
      </c>
      <c r="F48" s="15">
        <v>9.0397767144196214E-2</v>
      </c>
      <c r="G48" s="15">
        <v>0</v>
      </c>
      <c r="H48" s="15">
        <v>0.43110927075937122</v>
      </c>
      <c r="J48" s="12">
        <f t="shared" si="0"/>
        <v>2.4558718460247542E-2</v>
      </c>
      <c r="K48" s="12">
        <f t="shared" si="1"/>
        <v>4.2728700538359329E-3</v>
      </c>
    </row>
    <row r="49" spans="4:11" x14ac:dyDescent="0.2">
      <c r="D49" s="15">
        <v>0.51739231857792145</v>
      </c>
      <c r="E49" s="15">
        <v>0</v>
      </c>
      <c r="F49" s="15">
        <v>0.10687073029728442</v>
      </c>
      <c r="G49" s="15">
        <v>0</v>
      </c>
      <c r="H49" s="15">
        <v>0.37573695112479411</v>
      </c>
      <c r="J49" s="12">
        <f t="shared" si="0"/>
        <v>2.7259458061501048E-2</v>
      </c>
      <c r="K49" s="12">
        <f t="shared" si="1"/>
        <v>4.3895314780953917E-3</v>
      </c>
    </row>
    <row r="50" spans="4:11" x14ac:dyDescent="0.2">
      <c r="D50" s="15">
        <v>0.55629305356465097</v>
      </c>
      <c r="E50" s="15">
        <v>0</v>
      </c>
      <c r="F50" s="15">
        <v>0.12334428748950546</v>
      </c>
      <c r="G50" s="15">
        <v>0</v>
      </c>
      <c r="H50" s="15">
        <v>0.32036265894584359</v>
      </c>
      <c r="J50" s="12">
        <f t="shared" si="0"/>
        <v>3.0067778164074726E-2</v>
      </c>
      <c r="K50" s="12">
        <f t="shared" si="1"/>
        <v>4.5061970573924935E-3</v>
      </c>
    </row>
    <row r="51" spans="4:11" x14ac:dyDescent="0.2">
      <c r="D51" s="15">
        <v>0.59519379267441475</v>
      </c>
      <c r="E51" s="15">
        <v>0</v>
      </c>
      <c r="F51" s="15">
        <v>0.1398178406580094</v>
      </c>
      <c r="G51" s="15">
        <v>0</v>
      </c>
      <c r="H51" s="15">
        <v>0.26498836666757586</v>
      </c>
      <c r="J51" s="12">
        <f t="shared" si="0"/>
        <v>3.2956118302492753E-2</v>
      </c>
      <c r="K51" s="12">
        <f t="shared" si="1"/>
        <v>4.6228626373629499E-3</v>
      </c>
    </row>
    <row r="52" spans="4:11" x14ac:dyDescent="0.2">
      <c r="D52" s="15">
        <v>0.63409451246842508</v>
      </c>
      <c r="E52" s="15">
        <v>0</v>
      </c>
      <c r="F52" s="15">
        <v>0.15629141313143946</v>
      </c>
      <c r="G52" s="15">
        <v>0</v>
      </c>
      <c r="H52" s="15">
        <v>0.20961407440013546</v>
      </c>
      <c r="J52" s="12">
        <f t="shared" si="0"/>
        <v>3.5905172306792868E-2</v>
      </c>
      <c r="K52" s="12">
        <f t="shared" si="1"/>
        <v>4.7395282150997703E-3</v>
      </c>
    </row>
    <row r="53" spans="4:11" x14ac:dyDescent="0.2">
      <c r="D53" s="15">
        <v>0.67299523278060325</v>
      </c>
      <c r="E53" s="15">
        <v>0</v>
      </c>
      <c r="F53" s="15">
        <v>0.17276498549607575</v>
      </c>
      <c r="G53" s="15">
        <v>0</v>
      </c>
      <c r="H53" s="15">
        <v>0.15423978172332098</v>
      </c>
      <c r="J53" s="12">
        <f t="shared" si="0"/>
        <v>3.8901134729378485E-2</v>
      </c>
      <c r="K53" s="12">
        <f t="shared" si="1"/>
        <v>4.8561937937254837E-3</v>
      </c>
    </row>
    <row r="54" spans="4:11" x14ac:dyDescent="0.2">
      <c r="D54" s="15">
        <v>0.71189757436812562</v>
      </c>
      <c r="E54" s="15">
        <v>0</v>
      </c>
      <c r="F54" s="15">
        <v>0.18923924139183451</v>
      </c>
      <c r="G54" s="15">
        <v>0</v>
      </c>
      <c r="H54" s="15">
        <v>9.8863184240039814E-2</v>
      </c>
      <c r="J54" s="12">
        <f t="shared" si="0"/>
        <v>4.1934079567274782E-2</v>
      </c>
      <c r="K54" s="12">
        <f t="shared" si="1"/>
        <v>4.9728642284878211E-3</v>
      </c>
    </row>
    <row r="55" spans="4:11" x14ac:dyDescent="0.2">
      <c r="D55" s="15">
        <v>0.75079833619481318</v>
      </c>
      <c r="E55" s="15">
        <v>0</v>
      </c>
      <c r="F55" s="15">
        <v>0.20571282746962782</v>
      </c>
      <c r="G55" s="15">
        <v>0</v>
      </c>
      <c r="H55" s="15">
        <v>4.3488836335559E-2</v>
      </c>
      <c r="J55" s="12">
        <f t="shared" si="0"/>
        <v>4.4996305445089986E-2</v>
      </c>
      <c r="K55" s="12">
        <f t="shared" si="1"/>
        <v>5.0895299237812726E-3</v>
      </c>
    </row>
    <row r="56" spans="4:11" x14ac:dyDescent="0.2">
      <c r="D56" s="15">
        <v>0.99998798504963338</v>
      </c>
      <c r="E56" s="15">
        <v>5.2384185791015625E-7</v>
      </c>
      <c r="F56" s="15">
        <v>1.1672865959770683E-5</v>
      </c>
      <c r="G56" s="15">
        <v>-1.817574511300519E-7</v>
      </c>
      <c r="H56" s="15">
        <v>0</v>
      </c>
      <c r="J56" s="12">
        <f t="shared" si="0"/>
        <v>5.0536036881226543E-2</v>
      </c>
      <c r="K56" s="12">
        <f t="shared" si="1"/>
        <v>5.2061878897303798E-3</v>
      </c>
    </row>
    <row r="57" spans="4:11" x14ac:dyDescent="0.2">
      <c r="K57" s="11"/>
    </row>
    <row r="58" spans="4:11" x14ac:dyDescent="0.2">
      <c r="K58" s="11"/>
    </row>
    <row r="59" spans="4:11" x14ac:dyDescent="0.2">
      <c r="K59" s="11"/>
    </row>
    <row r="60" spans="4:11" x14ac:dyDescent="0.2">
      <c r="K60" s="11"/>
    </row>
  </sheetData>
  <mergeCells count="4">
    <mergeCell ref="A12:F12"/>
    <mergeCell ref="A4:B4"/>
    <mergeCell ref="H9:M9"/>
    <mergeCell ref="I20:L20"/>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119FF-F69B-4D42-96BE-F76B4F7CAB0E}">
  <sheetPr codeName="Sheet5"/>
  <dimension ref="A4:N56"/>
  <sheetViews>
    <sheetView topLeftCell="A21" zoomScale="85" zoomScaleNormal="70" workbookViewId="0">
      <selection activeCell="M46" sqref="M46"/>
    </sheetView>
  </sheetViews>
  <sheetFormatPr baseColWidth="10" defaultColWidth="8.83203125" defaultRowHeight="15" x14ac:dyDescent="0.2"/>
  <cols>
    <col min="1" max="1" width="5.5" bestFit="1" customWidth="1"/>
    <col min="2" max="2" width="6.6640625" bestFit="1" customWidth="1"/>
    <col min="3" max="4" width="7.33203125" bestFit="1" customWidth="1"/>
    <col min="5" max="8" width="7" bestFit="1" customWidth="1"/>
    <col min="9" max="9" width="8.83203125" bestFit="1" customWidth="1"/>
    <col min="10" max="11" width="7.33203125" bestFit="1" customWidth="1"/>
    <col min="12" max="12" width="6" bestFit="1" customWidth="1"/>
    <col min="13" max="13" width="7.83203125" bestFit="1" customWidth="1"/>
    <col min="14" max="14" width="4.5" bestFit="1" customWidth="1"/>
  </cols>
  <sheetData>
    <row r="4" spans="1:14" x14ac:dyDescent="0.2">
      <c r="A4" s="59" t="s">
        <v>14</v>
      </c>
      <c r="B4" s="59"/>
      <c r="C4" t="s">
        <v>20</v>
      </c>
      <c r="D4" t="s">
        <v>21</v>
      </c>
    </row>
    <row r="5" spans="1:14" x14ac:dyDescent="0.2">
      <c r="B5" t="s">
        <v>1</v>
      </c>
      <c r="C5" s="7">
        <v>5.2061905306429353E-3</v>
      </c>
      <c r="D5" s="7">
        <v>5.0781059807423715E-2</v>
      </c>
    </row>
    <row r="6" spans="1:14" x14ac:dyDescent="0.2">
      <c r="B6" t="s">
        <v>2</v>
      </c>
      <c r="C6" s="7">
        <v>1.8228887412207462E-3</v>
      </c>
      <c r="D6" s="7">
        <v>4.2540967712328959E-2</v>
      </c>
      <c r="I6" s="59" t="s">
        <v>22</v>
      </c>
      <c r="J6" s="59"/>
      <c r="K6" s="59"/>
      <c r="L6" s="59"/>
      <c r="M6" s="59"/>
      <c r="N6" s="59"/>
    </row>
    <row r="7" spans="1:14" x14ac:dyDescent="0.2">
      <c r="B7" t="s">
        <v>3</v>
      </c>
      <c r="C7" s="7">
        <v>5.0916883849000082E-3</v>
      </c>
      <c r="D7" s="7">
        <v>7.190373400898932E-2</v>
      </c>
    </row>
    <row r="8" spans="1:14" x14ac:dyDescent="0.2">
      <c r="B8" t="s">
        <v>4</v>
      </c>
      <c r="C8" s="7">
        <v>2.6314914640587685E-3</v>
      </c>
      <c r="D8" s="7">
        <v>1.5351373614146109E-2</v>
      </c>
      <c r="J8" t="s">
        <v>1</v>
      </c>
      <c r="K8" t="s">
        <v>2</v>
      </c>
      <c r="L8" t="s">
        <v>3</v>
      </c>
      <c r="M8" t="s">
        <v>4</v>
      </c>
      <c r="N8" t="s">
        <v>5</v>
      </c>
    </row>
    <row r="9" spans="1:14" x14ac:dyDescent="0.2">
      <c r="B9" t="s">
        <v>5</v>
      </c>
      <c r="C9" s="7">
        <v>3.0652722041294026E-3</v>
      </c>
      <c r="D9" s="7">
        <v>2.0643455065571741E-2</v>
      </c>
      <c r="I9" t="s">
        <v>24</v>
      </c>
      <c r="J9" s="16">
        <v>0.05</v>
      </c>
      <c r="K9" s="16">
        <v>0.05</v>
      </c>
      <c r="L9" s="16">
        <v>0.05</v>
      </c>
      <c r="M9" s="16">
        <v>0.05</v>
      </c>
      <c r="N9" s="16">
        <v>0.05</v>
      </c>
    </row>
    <row r="10" spans="1:14" x14ac:dyDescent="0.2">
      <c r="I10" t="s">
        <v>25</v>
      </c>
      <c r="J10" s="16">
        <f>1-SUM(change2)</f>
        <v>0.5</v>
      </c>
      <c r="K10" s="16">
        <v>0.05</v>
      </c>
      <c r="L10" s="16">
        <v>0.35</v>
      </c>
      <c r="M10" s="16">
        <v>0.05</v>
      </c>
      <c r="N10" s="16">
        <v>0.05</v>
      </c>
    </row>
    <row r="11" spans="1:14" x14ac:dyDescent="0.2">
      <c r="I11" t="s">
        <v>23</v>
      </c>
      <c r="J11" s="16">
        <v>0.5</v>
      </c>
      <c r="K11" s="16">
        <v>0.5</v>
      </c>
      <c r="L11" s="16">
        <v>0.5</v>
      </c>
      <c r="M11" s="16">
        <v>0.5</v>
      </c>
      <c r="N11" s="16">
        <v>0.5</v>
      </c>
    </row>
    <row r="14" spans="1:14" x14ac:dyDescent="0.2">
      <c r="A14" s="59" t="s">
        <v>10</v>
      </c>
      <c r="B14" s="59"/>
      <c r="C14" s="59"/>
      <c r="D14" s="59"/>
      <c r="E14" s="59"/>
      <c r="K14" t="s">
        <v>20</v>
      </c>
      <c r="L14" s="15">
        <f>PortfolioReturn(C5:C9,J10:N10)</f>
        <v>4.7611688205069164E-3</v>
      </c>
      <c r="M14" t="s">
        <v>26</v>
      </c>
    </row>
    <row r="15" spans="1:14" x14ac:dyDescent="0.2">
      <c r="B15" t="s">
        <v>1</v>
      </c>
      <c r="C15" t="s">
        <v>2</v>
      </c>
      <c r="D15" t="s">
        <v>3</v>
      </c>
      <c r="E15" t="s">
        <v>4</v>
      </c>
      <c r="F15" t="s">
        <v>5</v>
      </c>
      <c r="K15" t="s">
        <v>21</v>
      </c>
      <c r="L15" s="15">
        <f>SQRT(PortfolioVariance(J10:N10,B16:F20))</f>
        <v>4.2638759136394908E-2</v>
      </c>
      <c r="M15" t="s">
        <v>27</v>
      </c>
    </row>
    <row r="16" spans="1:14" x14ac:dyDescent="0.2">
      <c r="A16" t="s">
        <v>1</v>
      </c>
      <c r="B16" s="7">
        <f>COVAR('Adj. Price &amp; Expected Return'!$E$3:$E$106,'Adj. Price &amp; Expected Return'!$E$3:$E$106)</f>
        <v>2.5539206886731687E-3</v>
      </c>
      <c r="C16" s="7">
        <f>COVAR('Adj. Price &amp; Expected Return'!$E$3:$E$106,'Adj. Price &amp; Expected Return'!$H$3:$H$106)</f>
        <v>1.3440732126193562E-3</v>
      </c>
      <c r="D16" s="7">
        <f>COVAR('Adj. Price &amp; Expected Return'!$E$3:$E$106,'Adj. Price &amp; Expected Return'!$K$3:$K$106)</f>
        <v>1.3009001021553172E-3</v>
      </c>
      <c r="E16" s="7">
        <f>COVAR('Adj. Price &amp; Expected Return'!$E$3:$E$106,'Adj. Price &amp; Expected Return'!$N$3:$N$106)</f>
        <v>2.032219032055111E-4</v>
      </c>
      <c r="F16" s="7">
        <f>COVAR('Adj. Price &amp; Expected Return'!$E$3:$E$106,'Adj. Price &amp; Expected Return'!$Q$3:$Q$106)</f>
        <v>-5.0746902284850616E-4</v>
      </c>
    </row>
    <row r="17" spans="1:13" x14ac:dyDescent="0.2">
      <c r="A17" t="s">
        <v>2</v>
      </c>
      <c r="B17" s="7">
        <f>COVAR('Adj. Price &amp; Expected Return'!$E$3:$E$106,'Adj. Price &amp; Expected Return'!$H$3:$H$106)</f>
        <v>1.3440732126193562E-3</v>
      </c>
      <c r="C17" s="7">
        <f>COVAR('Adj. Price &amp; Expected Return'!$H$3:$H$106,'Adj. Price &amp; Expected Return'!$H$3:$H$106)</f>
        <v>1.7923326460754401E-3</v>
      </c>
      <c r="D17" s="7">
        <f>COVAR('Adj. Price &amp; Expected Return'!$H$3:$H$106,'Adj. Price &amp; Expected Return'!$K$3:$K$106)</f>
        <v>7.7440201925898101E-4</v>
      </c>
      <c r="E17" s="7">
        <f>COVAR('Adj. Price &amp; Expected Return'!$H$3:$H$106,'Adj. Price &amp; Expected Return'!$N$3:$N$106)</f>
        <v>2.1848864193454537E-4</v>
      </c>
      <c r="F17" s="7">
        <f>COVAR('Adj. Price &amp; Expected Return'!$H$3:$H$106,'Adj. Price &amp; Expected Return'!$Q$3:$Q$106)</f>
        <v>-2.5122907721817787E-4</v>
      </c>
      <c r="J17" s="60" t="s">
        <v>32</v>
      </c>
      <c r="K17" s="60"/>
      <c r="L17" s="60"/>
      <c r="M17" s="60"/>
    </row>
    <row r="18" spans="1:13" x14ac:dyDescent="0.2">
      <c r="A18" t="s">
        <v>3</v>
      </c>
      <c r="B18" s="7">
        <f>COVAR('Adj. Price &amp; Expected Return'!$E$3:$E$106,'Adj. Price &amp; Expected Return'!$K$3:$K$106)</f>
        <v>1.3009001021553172E-3</v>
      </c>
      <c r="C18" s="7">
        <f>COVAR('Adj. Price &amp; Expected Return'!$H$3:$H$106,'Adj. Price &amp; Expected Return'!$K$3:$K$106)</f>
        <v>7.7440201925898101E-4</v>
      </c>
      <c r="D18" s="7">
        <f>COVAR('Adj. Price &amp; Expected Return'!$K$3:$K$106,'Adj. Price &amp; Expected Return'!$K$3:$K$106)</f>
        <v>5.1204340128543782E-3</v>
      </c>
      <c r="E18" s="7">
        <f>COVAR('Adj. Price &amp; Expected Return'!$K$3:$K$106,'Adj. Price &amp; Expected Return'!$N$3:$N$106)</f>
        <v>3.9680542214496478E-4</v>
      </c>
      <c r="F18" s="7">
        <f>COVAR('Adj. Price &amp; Expected Return'!$K$3:$K$106,'Adj. Price &amp; Expected Return'!$Q$3:$Q$106)</f>
        <v>-6.4963443602902602E-5</v>
      </c>
      <c r="K18" t="s">
        <v>28</v>
      </c>
      <c r="L18" s="14">
        <v>30</v>
      </c>
    </row>
    <row r="19" spans="1:13" x14ac:dyDescent="0.2">
      <c r="A19" t="s">
        <v>4</v>
      </c>
      <c r="B19" s="7">
        <f>COVAR('Adj. Price &amp; Expected Return'!$E$3:$E$106,'Adj. Price &amp; Expected Return'!$N$3:$N$106)</f>
        <v>2.032219032055111E-4</v>
      </c>
      <c r="C19" s="7">
        <f>COVAR('Adj. Price &amp; Expected Return'!$H$3:$H$106,'Adj. Price &amp; Expected Return'!$N$3:$N$106)</f>
        <v>2.1848864193454537E-4</v>
      </c>
      <c r="D19" s="7">
        <f>COVAR('Adj. Price &amp; Expected Return'!$K$3:$K$106,'Adj. Price &amp; Expected Return'!$N$3:$N$106)</f>
        <v>3.9680542214496478E-4</v>
      </c>
      <c r="E19" s="7">
        <f>COVAR('Adj. Price &amp; Expected Return'!$N$3:$N$106,'Adj. Price &amp; Expected Return'!$N$3:$N$106)</f>
        <v>2.3339866538109075E-4</v>
      </c>
      <c r="F19" s="7">
        <f>COVAR('Adj. Price &amp; Expected Return'!$N$3:$N$106,'Adj. Price &amp; Expected Return'!$Q$3:$Q$106)</f>
        <v>6.9959794331307218E-5</v>
      </c>
      <c r="K19" t="s">
        <v>29</v>
      </c>
      <c r="L19" s="15">
        <v>4.8391186440066526E-3</v>
      </c>
    </row>
    <row r="20" spans="1:13" x14ac:dyDescent="0.2">
      <c r="A20" t="s">
        <v>5</v>
      </c>
      <c r="B20" s="7">
        <f>COVAR('Adj. Price &amp; Expected Return'!$E$3:$E$106,'Adj. Price &amp; Expected Return'!$Q$3:$Q$106)</f>
        <v>-5.0746902284850616E-4</v>
      </c>
      <c r="C20" s="7">
        <f>COVAR('Adj. Price &amp; Expected Return'!$H$3:$H$106,'Adj. Price &amp; Expected Return'!$Q$3:$Q$106)</f>
        <v>-2.5122907721817787E-4</v>
      </c>
      <c r="D20" s="7">
        <f>COVAR('Adj. Price &amp; Expected Return'!$K$3:$K$106,'Adj. Price &amp; Expected Return'!$Q$3:$Q$106)</f>
        <v>-6.4963443602902602E-5</v>
      </c>
      <c r="E20" s="7">
        <f>COVAR('Adj. Price &amp; Expected Return'!$N$3:$N$106,'Adj. Price &amp; Expected Return'!$Q$3:$Q$106)</f>
        <v>6.9959794331307218E-5</v>
      </c>
      <c r="F20" s="7">
        <f>COVAR('Adj. Price &amp; Expected Return'!$Q$3:$Q$106,'Adj. Price &amp; Expected Return'!$Q$3:$Q$106)</f>
        <v>4.2205461938039218E-4</v>
      </c>
    </row>
    <row r="24" spans="1:13" x14ac:dyDescent="0.2">
      <c r="A24" s="59" t="s">
        <v>30</v>
      </c>
      <c r="B24" s="59"/>
      <c r="C24" s="59"/>
      <c r="D24" s="59"/>
      <c r="E24" s="59"/>
      <c r="F24" s="59"/>
      <c r="G24" s="59"/>
    </row>
    <row r="25" spans="1:13" x14ac:dyDescent="0.2">
      <c r="D25" t="s">
        <v>1</v>
      </c>
      <c r="E25" t="s">
        <v>2</v>
      </c>
      <c r="F25" t="s">
        <v>3</v>
      </c>
      <c r="G25" t="s">
        <v>4</v>
      </c>
      <c r="H25" t="s">
        <v>5</v>
      </c>
      <c r="J25" t="s">
        <v>21</v>
      </c>
      <c r="K25" t="s">
        <v>20</v>
      </c>
    </row>
    <row r="26" spans="1:13" x14ac:dyDescent="0.2">
      <c r="C26" t="s">
        <v>31</v>
      </c>
    </row>
    <row r="27" spans="1:13" x14ac:dyDescent="0.2">
      <c r="D27" s="15">
        <v>5.0000000000000044E-2</v>
      </c>
      <c r="E27" s="15">
        <v>0.5</v>
      </c>
      <c r="F27" s="15">
        <v>0.05</v>
      </c>
      <c r="G27" s="15">
        <v>0.34999999999999992</v>
      </c>
      <c r="H27" s="15">
        <v>4.9999999999999989E-2</v>
      </c>
      <c r="J27" s="12">
        <f>SQRT(PortfolioVariance(D27:H27,$B$16:$F$20))</f>
        <v>2.6340856878769043E-2</v>
      </c>
      <c r="K27" s="12">
        <f>PortfolioReturn($C$5:$C$9,D27:H27)</f>
        <v>2.5006239390145597E-3</v>
      </c>
    </row>
    <row r="28" spans="1:13" x14ac:dyDescent="0.2">
      <c r="D28" s="15">
        <v>5.0000000000000044E-2</v>
      </c>
      <c r="E28" s="15">
        <v>0.40359937794833578</v>
      </c>
      <c r="F28" s="15">
        <v>0.05</v>
      </c>
      <c r="G28" s="15">
        <v>0.4464006220516642</v>
      </c>
      <c r="H28" s="15">
        <v>0.05</v>
      </c>
      <c r="J28" s="12">
        <f t="shared" ref="J28:J56" si="0">SQRT(PortfolioVariance(D28:H28,$B$16:$F$20))</f>
        <v>2.3374133172559604E-2</v>
      </c>
      <c r="K28" s="12">
        <f t="shared" ref="K28:K56" si="1">PortfolioReturn($C$5:$C$9,D28:H28)</f>
        <v>2.5785737444888146E-3</v>
      </c>
    </row>
    <row r="29" spans="1:13" x14ac:dyDescent="0.2">
      <c r="D29" s="15">
        <v>4.9999999999999933E-2</v>
      </c>
      <c r="E29" s="15">
        <v>0.32214287158012955</v>
      </c>
      <c r="F29" s="15">
        <v>0.05</v>
      </c>
      <c r="G29" s="15">
        <v>0.5</v>
      </c>
      <c r="H29" s="15">
        <v>7.7857128419870497E-2</v>
      </c>
      <c r="J29" s="12">
        <f t="shared" si="0"/>
        <v>2.0727241908306437E-2</v>
      </c>
      <c r="K29" s="12">
        <f t="shared" si="1"/>
        <v>2.6565235831132322E-3</v>
      </c>
    </row>
    <row r="30" spans="1:13" x14ac:dyDescent="0.2">
      <c r="D30" s="15">
        <v>5.0000000000000044E-2</v>
      </c>
      <c r="E30" s="15">
        <v>0.25940070794789583</v>
      </c>
      <c r="F30" s="15">
        <v>0.05</v>
      </c>
      <c r="G30" s="15">
        <v>0.5</v>
      </c>
      <c r="H30" s="15">
        <v>0.14059929205210417</v>
      </c>
      <c r="J30" s="12">
        <f t="shared" si="0"/>
        <v>1.8386964375943178E-2</v>
      </c>
      <c r="K30" s="12">
        <f t="shared" si="1"/>
        <v>2.7344734096370286E-3</v>
      </c>
    </row>
    <row r="31" spans="1:13" x14ac:dyDescent="0.2">
      <c r="D31" s="15">
        <v>5.0000000000000044E-2</v>
      </c>
      <c r="E31" s="15">
        <v>0.1966585467497409</v>
      </c>
      <c r="F31" s="15">
        <v>0.05</v>
      </c>
      <c r="G31" s="15">
        <v>0.5</v>
      </c>
      <c r="H31" s="15">
        <v>0.20334145325025915</v>
      </c>
      <c r="J31" s="12">
        <f t="shared" si="0"/>
        <v>1.636864432035404E-2</v>
      </c>
      <c r="K31" s="12">
        <f t="shared" si="1"/>
        <v>2.8124232331367656E-3</v>
      </c>
    </row>
    <row r="32" spans="1:13" x14ac:dyDescent="0.2">
      <c r="D32" s="15">
        <v>4.9999999999999933E-2</v>
      </c>
      <c r="E32" s="15">
        <v>0.13311148118301186</v>
      </c>
      <c r="F32" s="15">
        <v>0.05</v>
      </c>
      <c r="G32" s="15">
        <v>0.5</v>
      </c>
      <c r="H32" s="15">
        <v>0.26688851881698816</v>
      </c>
      <c r="J32" s="12">
        <f t="shared" si="0"/>
        <v>1.4788109734832806E-2</v>
      </c>
      <c r="K32" s="12">
        <f t="shared" si="1"/>
        <v>2.8913730565132412E-3</v>
      </c>
    </row>
    <row r="33" spans="4:11" x14ac:dyDescent="0.2">
      <c r="D33" s="15">
        <v>5.0000000000000044E-2</v>
      </c>
      <c r="E33" s="15">
        <v>8.6025249150613589E-2</v>
      </c>
      <c r="F33" s="15">
        <v>0.05</v>
      </c>
      <c r="G33" s="15">
        <v>0.45746544486977525</v>
      </c>
      <c r="H33" s="15">
        <v>0.35650930597961117</v>
      </c>
      <c r="J33" s="12">
        <f t="shared" si="0"/>
        <v>1.3831609856829272E-2</v>
      </c>
      <c r="K33" s="12">
        <f t="shared" si="1"/>
        <v>2.9683228833239372E-3</v>
      </c>
    </row>
    <row r="34" spans="4:11" x14ac:dyDescent="0.2">
      <c r="D34" s="15">
        <v>5.6903545720594972E-2</v>
      </c>
      <c r="E34" s="15">
        <v>0.05</v>
      </c>
      <c r="F34" s="15">
        <v>0.05</v>
      </c>
      <c r="G34" s="15">
        <v>0.41501838192226165</v>
      </c>
      <c r="H34" s="15">
        <v>0.42807807235714335</v>
      </c>
      <c r="J34" s="12">
        <f t="shared" si="0"/>
        <v>1.3555475796361068E-2</v>
      </c>
      <c r="K34" s="12">
        <f t="shared" si="1"/>
        <v>3.0462727030461665E-3</v>
      </c>
    </row>
    <row r="35" spans="4:11" x14ac:dyDescent="0.2">
      <c r="D35" s="15">
        <v>8.0876154023532099E-2</v>
      </c>
      <c r="E35" s="15">
        <v>0.05</v>
      </c>
      <c r="F35" s="15">
        <v>0.05</v>
      </c>
      <c r="G35" s="15">
        <v>0.35363615453249347</v>
      </c>
      <c r="H35" s="15">
        <v>0.46548769144397434</v>
      </c>
      <c r="J35" s="12">
        <f t="shared" si="0"/>
        <v>1.3541711243930006E-2</v>
      </c>
      <c r="K35" s="12">
        <f t="shared" si="1"/>
        <v>3.1242225275205726E-3</v>
      </c>
    </row>
    <row r="36" spans="4:11" x14ac:dyDescent="0.2">
      <c r="D36" s="15">
        <v>0.10533689568481863</v>
      </c>
      <c r="E36" s="15">
        <v>0.05</v>
      </c>
      <c r="F36" s="15">
        <v>0.05</v>
      </c>
      <c r="G36" s="15">
        <v>0.2946631043151815</v>
      </c>
      <c r="H36" s="15">
        <v>0.49999999999999994</v>
      </c>
      <c r="J36" s="12">
        <f t="shared" si="0"/>
        <v>1.3609840511931443E-2</v>
      </c>
      <c r="K36" s="12">
        <f t="shared" si="1"/>
        <v>3.2021723509908229E-3</v>
      </c>
    </row>
    <row r="37" spans="4:11" x14ac:dyDescent="0.2">
      <c r="D37" s="15">
        <v>0.13600060471619835</v>
      </c>
      <c r="E37" s="15">
        <v>0.05</v>
      </c>
      <c r="F37" s="15">
        <v>0.05</v>
      </c>
      <c r="G37" s="15">
        <v>0.26399939528380162</v>
      </c>
      <c r="H37" s="15">
        <v>0.49999999999999994</v>
      </c>
      <c r="J37" s="12">
        <f t="shared" si="0"/>
        <v>1.3806677151093953E-2</v>
      </c>
      <c r="K37" s="12">
        <f t="shared" si="1"/>
        <v>3.2811221740119243E-3</v>
      </c>
    </row>
    <row r="38" spans="4:11" x14ac:dyDescent="0.2">
      <c r="D38" s="15">
        <v>0.16588752411287189</v>
      </c>
      <c r="E38" s="15">
        <v>0.05</v>
      </c>
      <c r="F38" s="15">
        <v>0.05</v>
      </c>
      <c r="G38" s="15">
        <v>0.23411247588712811</v>
      </c>
      <c r="H38" s="15">
        <v>0.5</v>
      </c>
      <c r="J38" s="12">
        <f t="shared" si="0"/>
        <v>1.4148950611754071E-2</v>
      </c>
      <c r="K38" s="12">
        <f t="shared" si="1"/>
        <v>3.3580719974856165E-3</v>
      </c>
    </row>
    <row r="39" spans="4:11" x14ac:dyDescent="0.2">
      <c r="D39" s="15">
        <v>0.19616283842490578</v>
      </c>
      <c r="E39" s="15">
        <v>0.05</v>
      </c>
      <c r="F39" s="15">
        <v>0.05</v>
      </c>
      <c r="G39" s="15">
        <v>0.20383716157509418</v>
      </c>
      <c r="H39" s="15">
        <v>0.5</v>
      </c>
      <c r="J39" s="12">
        <f t="shared" si="0"/>
        <v>1.4636332162342809E-2</v>
      </c>
      <c r="K39" s="12">
        <f t="shared" si="1"/>
        <v>3.4360218209853522E-3</v>
      </c>
    </row>
    <row r="40" spans="4:11" x14ac:dyDescent="0.2">
      <c r="D40" s="15">
        <v>0.22643815273694012</v>
      </c>
      <c r="E40" s="15">
        <v>0.05</v>
      </c>
      <c r="F40" s="15">
        <v>0.05</v>
      </c>
      <c r="G40" s="15">
        <v>0.1735618472630599</v>
      </c>
      <c r="H40" s="15">
        <v>0.5</v>
      </c>
      <c r="J40" s="12">
        <f t="shared" si="0"/>
        <v>1.5251761554962903E-2</v>
      </c>
      <c r="K40" s="12">
        <f t="shared" si="1"/>
        <v>3.5139716444850893E-3</v>
      </c>
    </row>
    <row r="41" spans="4:11" x14ac:dyDescent="0.2">
      <c r="D41" s="15">
        <v>0.25671346704897413</v>
      </c>
      <c r="E41" s="15">
        <v>0.05</v>
      </c>
      <c r="F41" s="15">
        <v>0.05</v>
      </c>
      <c r="G41" s="15">
        <v>0.14328653295102581</v>
      </c>
      <c r="H41" s="15">
        <v>0.5</v>
      </c>
      <c r="J41" s="12">
        <f t="shared" si="0"/>
        <v>1.598045173025147E-2</v>
      </c>
      <c r="K41" s="12">
        <f t="shared" si="1"/>
        <v>3.5919214679848255E-3</v>
      </c>
    </row>
    <row r="42" spans="4:11" x14ac:dyDescent="0.2">
      <c r="D42" s="15">
        <v>0.28698878136100836</v>
      </c>
      <c r="E42" s="15">
        <v>0.05</v>
      </c>
      <c r="F42" s="15">
        <v>0.05</v>
      </c>
      <c r="G42" s="15">
        <v>0.1130112186389917</v>
      </c>
      <c r="H42" s="15">
        <v>0.5</v>
      </c>
      <c r="J42" s="12">
        <f t="shared" si="0"/>
        <v>1.680767800996881E-2</v>
      </c>
      <c r="K42" s="12">
        <f t="shared" si="1"/>
        <v>3.6698712914845625E-3</v>
      </c>
    </row>
    <row r="43" spans="4:11" x14ac:dyDescent="0.2">
      <c r="D43" s="15">
        <v>0.31726409567304248</v>
      </c>
      <c r="E43" s="15">
        <v>0.05</v>
      </c>
      <c r="F43" s="15">
        <v>0.05</v>
      </c>
      <c r="G43" s="15">
        <v>8.2735904326957502E-2</v>
      </c>
      <c r="H43" s="15">
        <v>0.5</v>
      </c>
      <c r="J43" s="12">
        <f t="shared" si="0"/>
        <v>1.7719645546147925E-2</v>
      </c>
      <c r="K43" s="12">
        <f t="shared" si="1"/>
        <v>3.7478211149842987E-3</v>
      </c>
    </row>
    <row r="44" spans="4:11" x14ac:dyDescent="0.2">
      <c r="D44" s="15">
        <v>0.3449061105209521</v>
      </c>
      <c r="E44" s="15">
        <v>0.05</v>
      </c>
      <c r="F44" s="15">
        <v>5.2755858127239062E-2</v>
      </c>
      <c r="G44" s="15">
        <v>5.2338031351808839E-2</v>
      </c>
      <c r="H44" s="15">
        <v>0.5</v>
      </c>
      <c r="J44" s="12">
        <f t="shared" si="0"/>
        <v>1.8702958288899833E-2</v>
      </c>
      <c r="K44" s="12">
        <f t="shared" si="1"/>
        <v>3.825770938490626E-3</v>
      </c>
    </row>
    <row r="45" spans="4:11" x14ac:dyDescent="0.2">
      <c r="D45" s="15">
        <v>0.37302799917461726</v>
      </c>
      <c r="E45" s="15">
        <v>0.05</v>
      </c>
      <c r="F45" s="15">
        <v>6.1011301363473297E-2</v>
      </c>
      <c r="G45" s="15">
        <v>0.05</v>
      </c>
      <c r="H45" s="15">
        <v>0.46596069946190949</v>
      </c>
      <c r="J45" s="12">
        <f t="shared" si="0"/>
        <v>2.0192976649764136E-2</v>
      </c>
      <c r="K45" s="12">
        <f t="shared" si="1"/>
        <v>3.9037207620088651E-3</v>
      </c>
    </row>
    <row r="46" spans="4:11" x14ac:dyDescent="0.2">
      <c r="D46" s="15">
        <v>0.39901942722964256</v>
      </c>
      <c r="E46" s="15">
        <v>0.05</v>
      </c>
      <c r="F46" s="15">
        <v>7.2018072361332827E-2</v>
      </c>
      <c r="G46" s="15">
        <v>0.05</v>
      </c>
      <c r="H46" s="15">
        <v>0.42896250040902462</v>
      </c>
      <c r="J46" s="12">
        <f t="shared" si="0"/>
        <v>2.1827356498768585E-2</v>
      </c>
      <c r="K46" s="12">
        <f t="shared" si="1"/>
        <v>3.981670585512226E-3</v>
      </c>
    </row>
    <row r="47" spans="4:11" x14ac:dyDescent="0.2">
      <c r="D47" s="15">
        <v>0.42501085527053173</v>
      </c>
      <c r="E47" s="15">
        <v>0.05</v>
      </c>
      <c r="F47" s="15">
        <v>8.3024843372338564E-2</v>
      </c>
      <c r="G47" s="15">
        <v>0.05</v>
      </c>
      <c r="H47" s="15">
        <v>0.39196430135712973</v>
      </c>
      <c r="J47" s="12">
        <f t="shared" si="0"/>
        <v>2.3547906980168891E-2</v>
      </c>
      <c r="K47" s="12">
        <f t="shared" si="1"/>
        <v>4.0596204090119613E-3</v>
      </c>
    </row>
    <row r="48" spans="4:11" x14ac:dyDescent="0.2">
      <c r="D48" s="15">
        <v>0.45100228332447179</v>
      </c>
      <c r="E48" s="15">
        <v>0.05</v>
      </c>
      <c r="F48" s="15">
        <v>9.4031614369556371E-2</v>
      </c>
      <c r="G48" s="15">
        <v>0.05</v>
      </c>
      <c r="H48" s="15">
        <v>0.35496610230597186</v>
      </c>
      <c r="J48" s="12">
        <f t="shared" si="0"/>
        <v>2.5337079552465218E-2</v>
      </c>
      <c r="K48" s="12">
        <f t="shared" si="1"/>
        <v>4.1375702325116993E-3</v>
      </c>
    </row>
    <row r="49" spans="4:11" x14ac:dyDescent="0.2">
      <c r="D49" s="15">
        <v>0.47699371146366287</v>
      </c>
      <c r="E49" s="15">
        <v>0.05</v>
      </c>
      <c r="F49" s="15">
        <v>0.10503838525391709</v>
      </c>
      <c r="G49" s="15">
        <v>0.05</v>
      </c>
      <c r="H49" s="15">
        <v>0.31796790328242008</v>
      </c>
      <c r="J49" s="12">
        <f t="shared" si="0"/>
        <v>2.7181326733034271E-2</v>
      </c>
      <c r="K49" s="12">
        <f t="shared" si="1"/>
        <v>4.2155200559652562E-3</v>
      </c>
    </row>
    <row r="50" spans="4:11" x14ac:dyDescent="0.2">
      <c r="D50" s="15">
        <v>0.5</v>
      </c>
      <c r="E50" s="15">
        <v>0.05</v>
      </c>
      <c r="F50" s="15">
        <v>0.11919897035032473</v>
      </c>
      <c r="G50" s="15">
        <v>0.05</v>
      </c>
      <c r="H50" s="15">
        <v>0.28080102964967524</v>
      </c>
      <c r="J50" s="12">
        <f t="shared" si="0"/>
        <v>2.9071007128007555E-2</v>
      </c>
      <c r="K50" s="12">
        <f t="shared" si="1"/>
        <v>4.2934698794862974E-3</v>
      </c>
    </row>
    <row r="51" spans="4:11" x14ac:dyDescent="0.2">
      <c r="D51" s="15">
        <v>0.5</v>
      </c>
      <c r="E51" s="15">
        <v>0.05</v>
      </c>
      <c r="F51" s="15">
        <v>0.15766580862344365</v>
      </c>
      <c r="G51" s="15">
        <v>0.05</v>
      </c>
      <c r="H51" s="15">
        <v>0.24233419137655632</v>
      </c>
      <c r="J51" s="12">
        <f t="shared" si="0"/>
        <v>3.1069484656579285E-2</v>
      </c>
      <c r="K51" s="12">
        <f t="shared" si="1"/>
        <v>4.3714197029860319E-3</v>
      </c>
    </row>
    <row r="52" spans="4:11" x14ac:dyDescent="0.2">
      <c r="D52" s="15">
        <v>0.5</v>
      </c>
      <c r="E52" s="15">
        <v>0.05</v>
      </c>
      <c r="F52" s="15">
        <v>0.19613264689656343</v>
      </c>
      <c r="G52" s="15">
        <v>0.05</v>
      </c>
      <c r="H52" s="15">
        <v>0.20386735310343662</v>
      </c>
      <c r="J52" s="12">
        <f t="shared" si="0"/>
        <v>3.3200741226740001E-2</v>
      </c>
      <c r="K52" s="12">
        <f t="shared" si="1"/>
        <v>4.4493695264857681E-3</v>
      </c>
    </row>
    <row r="53" spans="4:11" x14ac:dyDescent="0.2">
      <c r="D53" s="15">
        <v>0.5</v>
      </c>
      <c r="E53" s="15">
        <v>0.05</v>
      </c>
      <c r="F53" s="15">
        <v>0.2350929672251923</v>
      </c>
      <c r="G53" s="15">
        <v>0.05</v>
      </c>
      <c r="H53" s="15">
        <v>0.16490703277480775</v>
      </c>
      <c r="J53" s="12">
        <f t="shared" si="0"/>
        <v>3.5470186508202495E-2</v>
      </c>
      <c r="K53" s="12">
        <f t="shared" si="1"/>
        <v>4.5283193500077071E-3</v>
      </c>
    </row>
    <row r="54" spans="4:11" x14ac:dyDescent="0.2">
      <c r="D54" s="15">
        <v>0.5</v>
      </c>
      <c r="E54" s="15">
        <v>0.05</v>
      </c>
      <c r="F54" s="15">
        <v>0.27306632344280279</v>
      </c>
      <c r="G54" s="15">
        <v>0.05</v>
      </c>
      <c r="H54" s="15">
        <v>0.12693367655719726</v>
      </c>
      <c r="J54" s="12">
        <f t="shared" si="0"/>
        <v>3.7770393957918751E-2</v>
      </c>
      <c r="K54" s="12">
        <f t="shared" si="1"/>
        <v>4.6052691734852396E-3</v>
      </c>
    </row>
    <row r="55" spans="4:11" x14ac:dyDescent="0.2">
      <c r="D55" s="15">
        <v>0.5</v>
      </c>
      <c r="E55" s="15">
        <v>0.05</v>
      </c>
      <c r="F55" s="15">
        <v>0.31153316171592299</v>
      </c>
      <c r="G55" s="15">
        <v>0.05</v>
      </c>
      <c r="H55" s="15">
        <v>8.846683828407706E-2</v>
      </c>
      <c r="J55" s="12">
        <f t="shared" si="0"/>
        <v>4.0173869122705652E-2</v>
      </c>
      <c r="K55" s="12">
        <f t="shared" si="1"/>
        <v>4.6832189969849758E-3</v>
      </c>
    </row>
    <row r="56" spans="4:11" x14ac:dyDescent="0.2">
      <c r="D56" s="15">
        <v>0.5</v>
      </c>
      <c r="E56" s="15">
        <v>0.05</v>
      </c>
      <c r="F56" s="15">
        <v>0.35</v>
      </c>
      <c r="G56" s="15">
        <v>0.05</v>
      </c>
      <c r="H56" s="15">
        <v>0.05</v>
      </c>
      <c r="J56" s="12">
        <f t="shared" si="0"/>
        <v>4.2638759136394908E-2</v>
      </c>
      <c r="K56" s="12">
        <f t="shared" si="1"/>
        <v>4.7611688205069164E-3</v>
      </c>
    </row>
  </sheetData>
  <mergeCells count="5">
    <mergeCell ref="I6:N6"/>
    <mergeCell ref="A4:B4"/>
    <mergeCell ref="A14:E14"/>
    <mergeCell ref="A24:G24"/>
    <mergeCell ref="J17:M17"/>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07A22-1296-4E25-9F75-482FB813265A}">
  <sheetPr codeName="Sheet6"/>
  <dimension ref="B6:F37"/>
  <sheetViews>
    <sheetView tabSelected="1" workbookViewId="0">
      <selection activeCell="N25" sqref="N25"/>
    </sheetView>
  </sheetViews>
  <sheetFormatPr baseColWidth="10" defaultColWidth="8.83203125" defaultRowHeight="15" x14ac:dyDescent="0.2"/>
  <sheetData>
    <row r="6" spans="2:6" x14ac:dyDescent="0.2">
      <c r="B6" s="61" t="s">
        <v>83</v>
      </c>
      <c r="C6" s="61"/>
      <c r="E6" s="61" t="s">
        <v>84</v>
      </c>
      <c r="F6" s="61"/>
    </row>
    <row r="7" spans="2:6" ht="14.5" customHeight="1" x14ac:dyDescent="0.2">
      <c r="B7" t="s">
        <v>65</v>
      </c>
      <c r="C7" t="s">
        <v>82</v>
      </c>
      <c r="E7" t="s">
        <v>65</v>
      </c>
      <c r="F7" t="s">
        <v>82</v>
      </c>
    </row>
    <row r="8" spans="2:6" x14ac:dyDescent="0.2">
      <c r="B8" s="32">
        <v>4.2335769304751511E-2</v>
      </c>
      <c r="C8" s="32">
        <v>1.8228896520370019E-3</v>
      </c>
      <c r="E8" s="32">
        <v>2.6340857005219261E-2</v>
      </c>
      <c r="F8" s="32">
        <v>2.5006239346767522E-3</v>
      </c>
    </row>
    <row r="9" spans="2:6" x14ac:dyDescent="0.2">
      <c r="B9" s="32">
        <v>3.7030384478698053E-2</v>
      </c>
      <c r="C9" s="32">
        <v>1.9395561439662738E-3</v>
      </c>
      <c r="E9" s="32">
        <v>2.3373768944058335E-2</v>
      </c>
      <c r="F9" s="32">
        <v>2.5785837445016124E-3</v>
      </c>
    </row>
    <row r="10" spans="2:6" x14ac:dyDescent="0.2">
      <c r="B10" s="32">
        <v>3.1879755543889533E-2</v>
      </c>
      <c r="C10" s="32">
        <v>2.0562218395458482E-3</v>
      </c>
      <c r="E10" s="32">
        <v>2.0726925534173306E-2</v>
      </c>
      <c r="F10" s="32">
        <v>2.6565335830740465E-3</v>
      </c>
    </row>
    <row r="11" spans="2:6" x14ac:dyDescent="0.2">
      <c r="B11" s="32">
        <v>2.6972840071493129E-2</v>
      </c>
      <c r="C11" s="32">
        <v>2.1728875351246261E-3</v>
      </c>
      <c r="E11" s="32">
        <v>1.8386964379384658E-2</v>
      </c>
      <c r="F11" s="32">
        <v>2.7344734095150012E-3</v>
      </c>
    </row>
    <row r="12" spans="2:6" x14ac:dyDescent="0.2">
      <c r="B12" s="32">
        <v>2.2469953430529373E-2</v>
      </c>
      <c r="C12" s="32">
        <v>2.2895510578159512E-3</v>
      </c>
      <c r="E12" s="32">
        <v>1.636841134892348E-2</v>
      </c>
      <c r="F12" s="32">
        <v>2.8124332330135048E-3</v>
      </c>
    </row>
    <row r="13" spans="2:6" x14ac:dyDescent="0.2">
      <c r="B13" s="32">
        <v>1.8650075513652841E-2</v>
      </c>
      <c r="C13" s="32">
        <v>2.406216636527644E-3</v>
      </c>
      <c r="E13" s="32">
        <v>1.4802900335800541E-2</v>
      </c>
      <c r="F13" s="32">
        <v>2.8903730575174248E-3</v>
      </c>
    </row>
    <row r="14" spans="2:6" x14ac:dyDescent="0.2">
      <c r="B14" s="32">
        <v>1.5592202573826904E-2</v>
      </c>
      <c r="C14" s="32">
        <v>2.5228822158766943E-3</v>
      </c>
      <c r="E14" s="32">
        <v>1.3831609887959713E-2</v>
      </c>
      <c r="F14" s="32">
        <v>2.9683228794547233E-3</v>
      </c>
    </row>
    <row r="15" spans="2:6" x14ac:dyDescent="0.2">
      <c r="B15" s="32">
        <v>1.3611910638525043E-2</v>
      </c>
      <c r="C15" s="32">
        <v>2.6395477945138886E-3</v>
      </c>
      <c r="E15" s="32">
        <v>1.3555468788236153E-2</v>
      </c>
      <c r="F15" s="32">
        <v>3.0462827030954898E-3</v>
      </c>
    </row>
    <row r="16" spans="2:6" x14ac:dyDescent="0.2">
      <c r="B16" s="32">
        <v>1.3018328255024397E-2</v>
      </c>
      <c r="C16" s="32">
        <v>2.7562133727301692E-3</v>
      </c>
      <c r="E16" s="32">
        <v>1.3541711243761077E-2</v>
      </c>
      <c r="F16" s="32">
        <v>3.1242225270354828E-3</v>
      </c>
    </row>
    <row r="17" spans="2:6" x14ac:dyDescent="0.2">
      <c r="B17" s="32">
        <v>1.2759148268662888E-2</v>
      </c>
      <c r="C17" s="32">
        <v>2.8728789528521667E-3</v>
      </c>
      <c r="E17" s="32">
        <v>1.3609840688201705E-2</v>
      </c>
      <c r="F17" s="32">
        <v>3.2021724709437481E-3</v>
      </c>
    </row>
    <row r="18" spans="2:6" x14ac:dyDescent="0.2">
      <c r="B18" s="32">
        <v>1.2612389542822242E-2</v>
      </c>
      <c r="C18" s="32">
        <v>2.9895445327231913E-3</v>
      </c>
      <c r="E18" s="32">
        <v>1.3803222204448283E-2</v>
      </c>
      <c r="F18" s="32">
        <v>3.2801321740119254E-3</v>
      </c>
    </row>
    <row r="19" spans="2:6" x14ac:dyDescent="0.2">
      <c r="B19" s="32">
        <v>1.2581987327044101E-2</v>
      </c>
      <c r="C19" s="32">
        <v>3.1062130988599428E-3</v>
      </c>
      <c r="E19" s="32">
        <v>1.4148950611892561E-2</v>
      </c>
      <c r="F19" s="32">
        <v>3.3580719975114014E-3</v>
      </c>
    </row>
    <row r="20" spans="2:6" x14ac:dyDescent="0.2">
      <c r="B20" s="32">
        <v>1.2679178333125648E-2</v>
      </c>
      <c r="C20" s="32">
        <v>3.2228756899298772E-3</v>
      </c>
      <c r="E20" s="32">
        <v>1.4636403211529323E-2</v>
      </c>
      <c r="F20" s="32">
        <v>3.4360318210113986E-3</v>
      </c>
    </row>
    <row r="21" spans="2:6" x14ac:dyDescent="0.2">
      <c r="B21" s="32">
        <v>1.2959292088441637E-2</v>
      </c>
      <c r="C21" s="32">
        <v>3.3395444902125466E-3</v>
      </c>
      <c r="E21" s="32">
        <v>1.5251848093220388E-2</v>
      </c>
      <c r="F21" s="32">
        <v>3.5139816445111352E-3</v>
      </c>
    </row>
    <row r="22" spans="2:6" x14ac:dyDescent="0.2">
      <c r="B22" s="32">
        <v>1.3419728731427506E-2</v>
      </c>
      <c r="C22" s="32">
        <v>3.4562068476581102E-3</v>
      </c>
      <c r="E22" s="32">
        <v>1.5980451730509611E-2</v>
      </c>
      <c r="F22" s="32">
        <v>3.5919214680106113E-3</v>
      </c>
    </row>
    <row r="23" spans="2:6" x14ac:dyDescent="0.2">
      <c r="B23" s="32">
        <v>1.4042774074575173E-2</v>
      </c>
      <c r="C23" s="32">
        <v>3.5728724263909693E-3</v>
      </c>
      <c r="E23" s="32">
        <v>1.6807789850732797E-2</v>
      </c>
      <c r="F23" s="32">
        <v>3.6698812915106085E-3</v>
      </c>
    </row>
    <row r="24" spans="2:6" x14ac:dyDescent="0.2">
      <c r="B24" s="32">
        <v>1.4798117037181013E-2</v>
      </c>
      <c r="C24" s="32">
        <v>3.6895379947169066E-3</v>
      </c>
      <c r="E24" s="32">
        <v>1.7719767430356359E-2</v>
      </c>
      <c r="F24" s="32">
        <v>3.7478311150103451E-3</v>
      </c>
    </row>
    <row r="25" spans="2:6" x14ac:dyDescent="0.2">
      <c r="B25" s="32">
        <v>1.5928910424193359E-2</v>
      </c>
      <c r="C25" s="32">
        <v>3.8062035838079163E-3</v>
      </c>
      <c r="E25" s="32">
        <v>1.8702958289209988E-2</v>
      </c>
      <c r="F25" s="32">
        <v>3.8257709385145439E-3</v>
      </c>
    </row>
    <row r="26" spans="2:6" x14ac:dyDescent="0.2">
      <c r="B26" s="32">
        <v>1.7593165893595872E-2</v>
      </c>
      <c r="C26" s="32">
        <v>3.9228729681209523E-3</v>
      </c>
      <c r="E26" s="32">
        <v>2.0192976649957926E-2</v>
      </c>
      <c r="F26" s="32">
        <v>3.9037207620184E-3</v>
      </c>
    </row>
    <row r="27" spans="2:6" x14ac:dyDescent="0.2">
      <c r="B27" s="32">
        <v>1.9655677988804677E-2</v>
      </c>
      <c r="C27" s="32">
        <v>4.0395347405422126E-3</v>
      </c>
      <c r="E27" s="32">
        <v>2.1827356498226407E-2</v>
      </c>
      <c r="F27" s="32">
        <v>3.9816705854870812E-3</v>
      </c>
    </row>
    <row r="28" spans="2:6" x14ac:dyDescent="0.2">
      <c r="B28" s="32">
        <v>2.2004891537515728E-2</v>
      </c>
      <c r="C28" s="32">
        <v>4.156200320749634E-3</v>
      </c>
      <c r="E28" s="32">
        <v>2.3547906979602014E-2</v>
      </c>
      <c r="F28" s="32">
        <v>4.0596204089868183E-3</v>
      </c>
    </row>
    <row r="29" spans="2:6" x14ac:dyDescent="0.2">
      <c r="B29" s="32">
        <v>2.4558718498349348E-2</v>
      </c>
      <c r="C29" s="32">
        <v>4.272870055522804E-3</v>
      </c>
      <c r="E29" s="32">
        <v>2.5337079551878552E-2</v>
      </c>
      <c r="F29" s="32">
        <v>4.1375702324865545E-3</v>
      </c>
    </row>
    <row r="30" spans="2:6" x14ac:dyDescent="0.2">
      <c r="B30" s="32">
        <v>2.7259458066639024E-2</v>
      </c>
      <c r="C30" s="32">
        <v>4.3895314783125739E-3</v>
      </c>
      <c r="E30" s="32">
        <v>2.718132673353835E-2</v>
      </c>
      <c r="F30" s="32">
        <v>4.2155200559862898E-3</v>
      </c>
    </row>
    <row r="31" spans="2:6" x14ac:dyDescent="0.2">
      <c r="B31" s="32">
        <v>3.0067778192957011E-2</v>
      </c>
      <c r="C31" s="32">
        <v>4.5061970585739183E-3</v>
      </c>
      <c r="E31" s="32">
        <v>2.9071253802481427E-2</v>
      </c>
      <c r="F31" s="32">
        <v>4.2934798795084992E-3</v>
      </c>
    </row>
    <row r="32" spans="2:6" x14ac:dyDescent="0.2">
      <c r="B32" s="32">
        <v>3.2956231103346681E-2</v>
      </c>
      <c r="C32" s="32">
        <v>4.6228671420650239E-3</v>
      </c>
      <c r="E32" s="32">
        <v>3.1069750121241496E-2</v>
      </c>
      <c r="F32" s="32">
        <v>4.3714297030082354E-3</v>
      </c>
    </row>
    <row r="33" spans="2:6" x14ac:dyDescent="0.2">
      <c r="B33" s="32">
        <v>3.5905172320778431E-2</v>
      </c>
      <c r="C33" s="32">
        <v>4.7395282156483184E-3</v>
      </c>
      <c r="E33" s="32">
        <v>3.320102208268997E-2</v>
      </c>
      <c r="F33" s="32">
        <v>4.4493795265079716E-3</v>
      </c>
    </row>
    <row r="34" spans="2:6" x14ac:dyDescent="0.2">
      <c r="B34" s="32">
        <v>3.8901134745783023E-2</v>
      </c>
      <c r="C34" s="32">
        <v>4.8561937943600864E-3</v>
      </c>
      <c r="E34" s="32">
        <v>3.5441124161980711E-2</v>
      </c>
      <c r="F34" s="32">
        <v>4.5273293500077078E-3</v>
      </c>
    </row>
    <row r="35" spans="2:6" x14ac:dyDescent="0.2">
      <c r="B35" s="32">
        <v>4.1933952699293245E-2</v>
      </c>
      <c r="C35" s="32">
        <v>4.9728593734132114E-3</v>
      </c>
      <c r="E35" s="32">
        <v>3.7770697851448098E-2</v>
      </c>
      <c r="F35" s="32">
        <v>4.605279173507444E-3</v>
      </c>
    </row>
    <row r="36" spans="2:6" x14ac:dyDescent="0.2">
      <c r="B36" s="32">
        <v>4.4996305440539335E-2</v>
      </c>
      <c r="C36" s="32">
        <v>5.0895299236086156E-3</v>
      </c>
      <c r="E36" s="32">
        <v>4.017386912339261E-2</v>
      </c>
      <c r="F36" s="32">
        <v>4.6832189970069573E-3</v>
      </c>
    </row>
    <row r="37" spans="2:6" x14ac:dyDescent="0.2">
      <c r="B37" s="32">
        <v>5.0536034798350365E-2</v>
      </c>
      <c r="C37" s="32">
        <v>5.2061878801111421E-3</v>
      </c>
      <c r="E37" s="32">
        <v>4.2638759136394908E-2</v>
      </c>
      <c r="F37" s="32">
        <v>4.7611688205069164E-3</v>
      </c>
    </row>
  </sheetData>
  <mergeCells count="2">
    <mergeCell ref="B6:C6"/>
    <mergeCell ref="E6:F6"/>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707F7-EBD0-485D-8FF0-93AD11DF6BCB}">
  <sheetPr codeName="Sheet7"/>
  <dimension ref="A2:AO421"/>
  <sheetViews>
    <sheetView zoomScaleNormal="100" workbookViewId="0">
      <selection activeCell="K9" sqref="K9"/>
    </sheetView>
  </sheetViews>
  <sheetFormatPr baseColWidth="10" defaultColWidth="10.5" defaultRowHeight="15" x14ac:dyDescent="0.2"/>
  <cols>
    <col min="1" max="1" width="10.5" customWidth="1"/>
    <col min="5" max="5" width="10.5" customWidth="1"/>
    <col min="17" max="17" width="12" bestFit="1" customWidth="1"/>
    <col min="18" max="18" width="12.6640625" bestFit="1" customWidth="1"/>
    <col min="19" max="19" width="12" bestFit="1" customWidth="1"/>
    <col min="22" max="22" width="10.5" style="33"/>
    <col min="29" max="29" width="10.5" style="33"/>
    <col min="36" max="36" width="10.5" style="33"/>
  </cols>
  <sheetData>
    <row r="2" spans="1:41" ht="16" thickBot="1" x14ac:dyDescent="0.25">
      <c r="B2" t="s">
        <v>88</v>
      </c>
    </row>
    <row r="3" spans="1:41" x14ac:dyDescent="0.2">
      <c r="B3" s="36"/>
      <c r="C3" s="62" t="s">
        <v>73</v>
      </c>
      <c r="D3" s="62"/>
      <c r="E3" s="62"/>
      <c r="F3" s="62"/>
      <c r="G3" s="62"/>
      <c r="H3" s="37"/>
      <c r="I3" s="62" t="s">
        <v>74</v>
      </c>
      <c r="J3" s="62"/>
      <c r="K3" s="62"/>
      <c r="L3" s="62"/>
      <c r="M3" s="62"/>
      <c r="N3" s="56"/>
    </row>
    <row r="4" spans="1:41" x14ac:dyDescent="0.2">
      <c r="B4" s="38"/>
      <c r="C4" s="39" t="s">
        <v>89</v>
      </c>
      <c r="D4" s="39" t="s">
        <v>61</v>
      </c>
      <c r="E4" s="39" t="s">
        <v>62</v>
      </c>
      <c r="F4" s="39" t="s">
        <v>67</v>
      </c>
      <c r="G4" s="39" t="s">
        <v>68</v>
      </c>
      <c r="H4" s="39"/>
      <c r="I4" s="39" t="s">
        <v>89</v>
      </c>
      <c r="J4" s="39" t="s">
        <v>61</v>
      </c>
      <c r="K4" s="39" t="s">
        <v>62</v>
      </c>
      <c r="L4" s="39" t="s">
        <v>67</v>
      </c>
      <c r="M4" s="39" t="s">
        <v>68</v>
      </c>
      <c r="N4" s="40"/>
    </row>
    <row r="5" spans="1:41" x14ac:dyDescent="0.2">
      <c r="B5" s="38"/>
      <c r="C5" s="39" t="s">
        <v>90</v>
      </c>
      <c r="D5" s="41">
        <v>0.5</v>
      </c>
      <c r="E5" s="41">
        <v>0.4</v>
      </c>
      <c r="F5" s="41">
        <v>0.05</v>
      </c>
      <c r="G5" s="41">
        <f>1-SUM(D5:F5)</f>
        <v>4.9999999999999933E-2</v>
      </c>
      <c r="H5" s="39"/>
      <c r="I5" s="39" t="s">
        <v>90</v>
      </c>
      <c r="J5" s="41">
        <v>4.9999999999999989E-2</v>
      </c>
      <c r="K5" s="41">
        <v>4.9999999999999989E-2</v>
      </c>
      <c r="L5" s="41">
        <v>0.4</v>
      </c>
      <c r="M5" s="41">
        <f>1-SUM(J5:L5)</f>
        <v>0.5</v>
      </c>
      <c r="N5" s="40"/>
    </row>
    <row r="6" spans="1:41" x14ac:dyDescent="0.2">
      <c r="B6" s="38"/>
      <c r="C6" s="39" t="s">
        <v>91</v>
      </c>
      <c r="D6" s="41">
        <v>0.5</v>
      </c>
      <c r="E6" s="41">
        <v>0.4</v>
      </c>
      <c r="F6" s="41">
        <v>0.05</v>
      </c>
      <c r="G6" s="41">
        <f>1-SUM(D6:F6)</f>
        <v>4.9999999999999933E-2</v>
      </c>
      <c r="H6" s="39"/>
      <c r="I6" s="39" t="s">
        <v>91</v>
      </c>
      <c r="J6" s="41">
        <v>5.0000000000000017E-2</v>
      </c>
      <c r="K6" s="41">
        <v>4.9999999999999989E-2</v>
      </c>
      <c r="L6" s="41">
        <v>0.42229019457494965</v>
      </c>
      <c r="M6" s="41">
        <f>1-SUM(J6:L6)</f>
        <v>0.47770980542505037</v>
      </c>
      <c r="N6" s="40"/>
    </row>
    <row r="7" spans="1:41" x14ac:dyDescent="0.2">
      <c r="B7" s="38"/>
      <c r="C7" s="39" t="s">
        <v>92</v>
      </c>
      <c r="D7" s="41">
        <v>0.4</v>
      </c>
      <c r="E7" s="41">
        <v>0.5</v>
      </c>
      <c r="F7" s="41">
        <v>5.0000000000000017E-2</v>
      </c>
      <c r="G7" s="41">
        <f>1-SUM(D7:F7)</f>
        <v>4.9999999999999933E-2</v>
      </c>
      <c r="H7" s="39"/>
      <c r="I7" s="39" t="s">
        <v>92</v>
      </c>
      <c r="J7" s="41">
        <v>0.05</v>
      </c>
      <c r="K7" s="41">
        <v>0.05</v>
      </c>
      <c r="L7" s="41">
        <v>0.5</v>
      </c>
      <c r="M7" s="41">
        <f>1-SUM(J7:L7)</f>
        <v>0.4</v>
      </c>
      <c r="N7" s="40"/>
    </row>
    <row r="8" spans="1:41" ht="16" thickBot="1" x14ac:dyDescent="0.25">
      <c r="B8" s="43"/>
      <c r="C8" s="44" t="s">
        <v>93</v>
      </c>
      <c r="D8" s="45">
        <v>0.4</v>
      </c>
      <c r="E8" s="45">
        <v>0.50000000000000011</v>
      </c>
      <c r="F8" s="45">
        <v>5.0000000000000017E-2</v>
      </c>
      <c r="G8" s="45">
        <v>4.9999999999999822E-2</v>
      </c>
      <c r="H8" s="44"/>
      <c r="I8" s="44" t="s">
        <v>93</v>
      </c>
      <c r="J8" s="45">
        <v>0.05</v>
      </c>
      <c r="K8" s="45">
        <v>0.05</v>
      </c>
      <c r="L8" s="45">
        <v>0.5</v>
      </c>
      <c r="M8" s="45">
        <f>1-SUM(J8:L8)</f>
        <v>0.4</v>
      </c>
      <c r="N8" s="57"/>
    </row>
    <row r="10" spans="1:41" x14ac:dyDescent="0.2">
      <c r="A10" s="59" t="s">
        <v>45</v>
      </c>
      <c r="B10" s="59"/>
      <c r="C10" s="59"/>
      <c r="D10" s="59"/>
      <c r="E10" s="59"/>
      <c r="F10" s="59"/>
      <c r="G10" s="59"/>
      <c r="H10" s="59"/>
      <c r="I10" s="59"/>
      <c r="J10" s="59"/>
      <c r="K10" s="59"/>
      <c r="L10" s="59"/>
    </row>
    <row r="12" spans="1:41" x14ac:dyDescent="0.2">
      <c r="A12" t="s">
        <v>46</v>
      </c>
      <c r="B12" s="2">
        <v>32171</v>
      </c>
      <c r="D12" s="2"/>
      <c r="E12" s="2"/>
    </row>
    <row r="13" spans="1:41" x14ac:dyDescent="0.2">
      <c r="A13" t="s">
        <v>47</v>
      </c>
      <c r="B13" s="2">
        <v>44439</v>
      </c>
      <c r="D13" s="2"/>
      <c r="E13" s="2"/>
      <c r="F13" s="2"/>
      <c r="G13" s="2"/>
      <c r="H13" s="2"/>
      <c r="P13" s="59" t="s">
        <v>81</v>
      </c>
      <c r="Q13" s="59"/>
      <c r="R13" s="59"/>
      <c r="S13" s="59"/>
      <c r="T13" s="59"/>
      <c r="U13" s="4"/>
      <c r="W13" s="59" t="s">
        <v>85</v>
      </c>
      <c r="X13" s="59"/>
      <c r="Y13" s="59"/>
      <c r="Z13" s="59"/>
      <c r="AA13" s="59"/>
      <c r="AD13" s="59" t="s">
        <v>86</v>
      </c>
      <c r="AE13" s="59"/>
      <c r="AF13" s="59"/>
      <c r="AG13" s="59"/>
      <c r="AH13" s="59"/>
      <c r="AK13" s="59" t="s">
        <v>87</v>
      </c>
      <c r="AL13" s="59"/>
      <c r="AM13" s="59"/>
      <c r="AN13" s="59"/>
      <c r="AO13" s="59"/>
    </row>
    <row r="14" spans="1:41" ht="64" x14ac:dyDescent="0.2">
      <c r="C14" s="19" t="s">
        <v>48</v>
      </c>
      <c r="D14" s="22" t="s">
        <v>59</v>
      </c>
      <c r="E14" s="19"/>
      <c r="F14" s="19" t="s">
        <v>49</v>
      </c>
      <c r="G14" s="22" t="s">
        <v>60</v>
      </c>
      <c r="H14" s="19"/>
      <c r="I14" s="19" t="s">
        <v>50</v>
      </c>
      <c r="J14" s="22" t="s">
        <v>60</v>
      </c>
      <c r="K14" s="19"/>
      <c r="L14" s="19" t="s">
        <v>51</v>
      </c>
      <c r="M14" s="22" t="s">
        <v>60</v>
      </c>
      <c r="N14" s="34"/>
    </row>
    <row r="15" spans="1:41" x14ac:dyDescent="0.2">
      <c r="C15" s="7" t="s">
        <v>52</v>
      </c>
      <c r="D15" s="15"/>
      <c r="E15" s="7"/>
      <c r="F15" s="2" t="s">
        <v>53</v>
      </c>
      <c r="G15" s="25"/>
      <c r="H15" s="2"/>
      <c r="I15" t="s">
        <v>54</v>
      </c>
      <c r="J15" s="14"/>
      <c r="L15" s="7" t="s">
        <v>55</v>
      </c>
      <c r="M15" s="14"/>
      <c r="N15" s="35"/>
    </row>
    <row r="16" spans="1:41" x14ac:dyDescent="0.2">
      <c r="C16" s="7" t="s">
        <v>56</v>
      </c>
      <c r="D16" s="15"/>
      <c r="E16" s="7"/>
      <c r="F16" s="2" t="s">
        <v>56</v>
      </c>
      <c r="G16" s="25"/>
      <c r="H16" s="2"/>
      <c r="I16" t="s">
        <v>56</v>
      </c>
      <c r="J16" s="14"/>
      <c r="L16" s="7" t="s">
        <v>56</v>
      </c>
      <c r="M16" s="14"/>
      <c r="N16" s="35"/>
      <c r="P16" s="59" t="s">
        <v>14</v>
      </c>
      <c r="Q16" s="59"/>
      <c r="R16" t="s">
        <v>20</v>
      </c>
      <c r="S16" t="s">
        <v>64</v>
      </c>
      <c r="T16" t="s">
        <v>65</v>
      </c>
      <c r="W16" s="59" t="s">
        <v>14</v>
      </c>
      <c r="X16" s="59"/>
      <c r="Y16" t="s">
        <v>20</v>
      </c>
      <c r="Z16" t="s">
        <v>64</v>
      </c>
      <c r="AA16" t="s">
        <v>65</v>
      </c>
      <c r="AD16" s="59" t="s">
        <v>14</v>
      </c>
      <c r="AE16" s="59"/>
      <c r="AF16" t="s">
        <v>20</v>
      </c>
      <c r="AG16" t="s">
        <v>64</v>
      </c>
      <c r="AH16" t="s">
        <v>65</v>
      </c>
      <c r="AK16" s="59" t="s">
        <v>14</v>
      </c>
      <c r="AL16" s="59"/>
      <c r="AM16" t="s">
        <v>20</v>
      </c>
      <c r="AN16" t="s">
        <v>64</v>
      </c>
      <c r="AO16" t="s">
        <v>65</v>
      </c>
    </row>
    <row r="17" spans="1:41" x14ac:dyDescent="0.2">
      <c r="A17" t="s">
        <v>57</v>
      </c>
      <c r="C17" s="7" t="s">
        <v>58</v>
      </c>
      <c r="D17" s="15"/>
      <c r="E17" s="7"/>
      <c r="F17" s="2" t="s">
        <v>58</v>
      </c>
      <c r="G17" s="25"/>
      <c r="H17" s="2"/>
      <c r="I17" t="s">
        <v>58</v>
      </c>
      <c r="J17" s="14"/>
      <c r="L17" s="7" t="s">
        <v>58</v>
      </c>
      <c r="M17" s="14"/>
      <c r="N17" s="35"/>
      <c r="Q17" t="s">
        <v>61</v>
      </c>
      <c r="R17" s="27">
        <f ca="1">AVERAGE(OFFSET(D18,0,0,61))</f>
        <v>1.4605227555223822E-2</v>
      </c>
      <c r="S17" s="28">
        <f ca="1">VAR(OFFSET(D18,0,0,61))</f>
        <v>1.8373895792737815E-3</v>
      </c>
      <c r="T17" s="27">
        <f ca="1">SQRT(S17)</f>
        <v>4.2864782505849505E-2</v>
      </c>
      <c r="X17" t="s">
        <v>61</v>
      </c>
      <c r="Y17" s="27">
        <f ca="1">AVERAGE(OFFSET($D$18,0,0,121))</f>
        <v>1.2873236598152564E-2</v>
      </c>
      <c r="Z17" s="28">
        <f ca="1">VAR(OFFSET($D$18,0,0,121))</f>
        <v>1.5198209748131949E-3</v>
      </c>
      <c r="AA17" s="27">
        <f ca="1">SQRT(Z17)</f>
        <v>3.8984881362051041E-2</v>
      </c>
      <c r="AE17" t="s">
        <v>61</v>
      </c>
      <c r="AF17" s="27">
        <f ca="1">AVERAGE(OFFSET($D$18,0,0,241))</f>
        <v>8.0600167811195698E-3</v>
      </c>
      <c r="AG17" s="28">
        <f ca="1">VAR(OFFSET($D$18,0,0,241))</f>
        <v>1.8189440212256834E-3</v>
      </c>
      <c r="AH17" s="27">
        <f ca="1">SQRT(AG17)</f>
        <v>4.2649079957552231E-2</v>
      </c>
      <c r="AL17" t="s">
        <v>61</v>
      </c>
      <c r="AM17" s="27">
        <f ca="1">AVERAGE(OFFSET($D$18,0,0,361))</f>
        <v>9.4092611741075378E-3</v>
      </c>
      <c r="AN17" s="28">
        <f ca="1">VAR(OFFSET($D$18,0,0,361))</f>
        <v>1.7459057926703483E-3</v>
      </c>
      <c r="AO17" s="27">
        <f ca="1">SQRT(AN17)</f>
        <v>4.1784037534330597E-2</v>
      </c>
    </row>
    <row r="18" spans="1:41" x14ac:dyDescent="0.2">
      <c r="A18" s="2">
        <v>44439</v>
      </c>
      <c r="B18" s="2"/>
      <c r="C18" s="21">
        <v>9433.58</v>
      </c>
      <c r="D18" s="24">
        <f>C18/C19-1</f>
        <v>3.0405637882692016E-2</v>
      </c>
      <c r="E18" s="20"/>
      <c r="F18" s="20">
        <v>11724.3</v>
      </c>
      <c r="G18" s="24">
        <f>F18/F19-1</f>
        <v>2.2368758382180109E-2</v>
      </c>
      <c r="H18" s="20"/>
      <c r="I18" s="20">
        <v>2375.4299999999998</v>
      </c>
      <c r="J18" s="24">
        <f>I18/I19-1</f>
        <v>-1.903393334341863E-3</v>
      </c>
      <c r="K18" s="20"/>
      <c r="L18" s="20">
        <v>2522.86</v>
      </c>
      <c r="M18" s="14">
        <f>L18/L19-1</f>
        <v>-1.7528657178241813E-3</v>
      </c>
      <c r="N18" s="35"/>
      <c r="Q18" t="s">
        <v>62</v>
      </c>
      <c r="R18" s="27">
        <f ca="1">AVERAGE(OFFSET(G18,0,0,61))</f>
        <v>1.3193543338928969E-2</v>
      </c>
      <c r="S18" s="28">
        <f ca="1">VAR(OFFSET(G18,0,0,61))</f>
        <v>3.6232335353056427E-3</v>
      </c>
      <c r="T18" s="27">
        <f ca="1">SQRT(S18)</f>
        <v>6.0193301415569847E-2</v>
      </c>
      <c r="X18" t="s">
        <v>62</v>
      </c>
      <c r="Y18" s="27">
        <f ca="1">AVERAGE(OFFSET($G$18,0,0,121))</f>
        <v>1.1327450802850851E-2</v>
      </c>
      <c r="Z18" s="28">
        <f ca="1">VAR(OFFSET($G$18,0,0,121))</f>
        <v>2.9467332737012839E-3</v>
      </c>
      <c r="AA18" s="27">
        <f ca="1">SQRT(Z18)</f>
        <v>5.4283821472896357E-2</v>
      </c>
      <c r="AE18" t="s">
        <v>62</v>
      </c>
      <c r="AF18" s="27">
        <f ca="1">AVERAGE(OFFSET($G$18,0,0,241))</f>
        <v>9.2061341345246427E-3</v>
      </c>
      <c r="AG18" s="28">
        <f ca="1">VAR(OFFSET($G$18,0,0,241))</f>
        <v>3.266367177586368E-3</v>
      </c>
      <c r="AH18" s="27">
        <f ca="1">SQRT(AG18)</f>
        <v>5.7152140621208304E-2</v>
      </c>
      <c r="AL18" t="s">
        <v>62</v>
      </c>
      <c r="AM18" s="27">
        <f ca="1">AVERAGE(OFFSET($G$18,0,0,361))</f>
        <v>9.8430319018964745E-3</v>
      </c>
      <c r="AN18" s="28">
        <f ca="1">VAR(OFFSET($G$18,0,0,361))</f>
        <v>3.0241846035164517E-3</v>
      </c>
      <c r="AO18" s="27">
        <f ca="1">SQRT(AN18)</f>
        <v>5.4992586805099934E-2</v>
      </c>
    </row>
    <row r="19" spans="1:41" x14ac:dyDescent="0.2">
      <c r="A19" s="2">
        <v>44407</v>
      </c>
      <c r="B19" s="2"/>
      <c r="C19" s="21">
        <v>9155.2099999999991</v>
      </c>
      <c r="D19" s="24">
        <f t="shared" ref="D19:D82" si="0">C19/C20-1</f>
        <v>2.3754358264432174E-2</v>
      </c>
      <c r="E19" s="20"/>
      <c r="F19" s="20">
        <v>11467.78</v>
      </c>
      <c r="G19" s="24">
        <f t="shared" ref="G19:G82" si="1">F19/F20-1</f>
        <v>-3.6108790338713059E-2</v>
      </c>
      <c r="H19" s="20"/>
      <c r="I19" s="20">
        <v>2379.96</v>
      </c>
      <c r="J19" s="24">
        <f t="shared" ref="J19:J82" si="2">I19/I20-1</f>
        <v>1.1182678744412922E-2</v>
      </c>
      <c r="K19" s="20"/>
      <c r="L19" s="20">
        <v>2527.29</v>
      </c>
      <c r="M19" s="14">
        <f t="shared" ref="M19:M82" si="3">L19/L20-1</f>
        <v>1.3608143228414527E-2</v>
      </c>
      <c r="N19" s="35"/>
      <c r="Q19" t="s">
        <v>63</v>
      </c>
      <c r="R19" s="27">
        <f ca="1">AVERAGE(OFFSET(J18,0,0,61))</f>
        <v>2.5377283398408472E-3</v>
      </c>
      <c r="S19" s="28">
        <f ca="1">VAR(OFFSET(J18,0,0,61))</f>
        <v>8.8024524955265777E-5</v>
      </c>
      <c r="T19" s="27">
        <f t="shared" ref="T19:T20" ca="1" si="4">SQRT(S19)</f>
        <v>9.3821386130916746E-3</v>
      </c>
      <c r="X19" t="s">
        <v>63</v>
      </c>
      <c r="Y19" s="27">
        <f ca="1">AVERAGE(OFFSET($J$18,0,0,121))</f>
        <v>2.7445505572395732E-3</v>
      </c>
      <c r="Z19" s="28">
        <f ca="1">VAR(OFFSET($J$18,0,0,121))</f>
        <v>7.4195914567476686E-5</v>
      </c>
      <c r="AA19" s="27">
        <f t="shared" ref="AA19:AA20" ca="1" si="5">SQRT(Z19)</f>
        <v>8.6137050429810225E-3</v>
      </c>
      <c r="AE19" t="s">
        <v>63</v>
      </c>
      <c r="AF19" s="27">
        <f ca="1">AVERAGE(OFFSET($J$18,0,0,241))</f>
        <v>3.7038596951569046E-3</v>
      </c>
      <c r="AG19" s="28">
        <f ca="1">VAR(OFFSET($J$18,0,0,241))</f>
        <v>9.7238664248648049E-5</v>
      </c>
      <c r="AH19" s="27">
        <f t="shared" ref="AH19:AH20" ca="1" si="6">SQRT(AG19)</f>
        <v>9.8609666995000071E-3</v>
      </c>
      <c r="AL19" t="s">
        <v>63</v>
      </c>
      <c r="AM19" s="27">
        <f ca="1">AVERAGE(OFFSET($J$18,0,0,361))</f>
        <v>4.6203184498023733E-3</v>
      </c>
      <c r="AN19" s="28">
        <f ca="1">VAR(OFFSET($J$18,0,0,361))</f>
        <v>1.059663570554821E-4</v>
      </c>
      <c r="AO19" s="27">
        <f t="shared" ref="AO19:AO20" ca="1" si="7">SQRT(AN19)</f>
        <v>1.0293996165507451E-2</v>
      </c>
    </row>
    <row r="20" spans="1:41" x14ac:dyDescent="0.2">
      <c r="A20" s="2">
        <v>44377</v>
      </c>
      <c r="B20" s="2"/>
      <c r="C20" s="21">
        <v>8942.7800000000007</v>
      </c>
      <c r="D20" s="24">
        <f t="shared" si="0"/>
        <v>2.3345390712880665E-2</v>
      </c>
      <c r="E20" s="20"/>
      <c r="F20" s="20">
        <v>11897.38</v>
      </c>
      <c r="G20" s="24">
        <f t="shared" si="1"/>
        <v>1.9374086431113602E-2</v>
      </c>
      <c r="H20" s="20"/>
      <c r="I20" s="20">
        <v>2353.64</v>
      </c>
      <c r="J20" s="24">
        <f t="shared" si="2"/>
        <v>7.0254404805709658E-3</v>
      </c>
      <c r="K20" s="20"/>
      <c r="L20" s="20">
        <v>2493.36</v>
      </c>
      <c r="M20" s="14">
        <f t="shared" si="3"/>
        <v>6.4259881167656463E-3</v>
      </c>
      <c r="N20" s="35"/>
      <c r="Q20" t="s">
        <v>51</v>
      </c>
      <c r="R20" s="27">
        <f ca="1">AVERAGE(OFFSET(M18,0,0,61))</f>
        <v>1.9407239358380213E-3</v>
      </c>
      <c r="S20" s="28">
        <f ca="1">VAR(OFFSET(M18,0,0,61))</f>
        <v>1.3296819137058083E-4</v>
      </c>
      <c r="T20" s="27">
        <f t="shared" ca="1" si="4"/>
        <v>1.1531183433220583E-2</v>
      </c>
      <c r="X20" t="s">
        <v>51</v>
      </c>
      <c r="Y20" s="27">
        <f ca="1">AVERAGE(OFFSET($M$18,0,0,121))</f>
        <v>2.3202119425945046E-3</v>
      </c>
      <c r="Z20" s="28">
        <f ca="1">VAR(OFFSET($M$18,0,0,121))</f>
        <v>1.114581033680736E-4</v>
      </c>
      <c r="AA20" s="27">
        <f t="shared" ca="1" si="5"/>
        <v>1.0557371991555171E-2</v>
      </c>
      <c r="AE20" t="s">
        <v>51</v>
      </c>
      <c r="AF20" s="27">
        <f ca="1">AVERAGE(OFFSET($M$18,0,0,241))</f>
        <v>3.3942963244250877E-3</v>
      </c>
      <c r="AG20" s="28">
        <f ca="1">VAR(OFFSET($M$18,0,0,241))</f>
        <v>1.6305017883483375E-4</v>
      </c>
      <c r="AH20" s="27">
        <f t="shared" ca="1" si="6"/>
        <v>1.2769110338423494E-2</v>
      </c>
      <c r="AL20" t="s">
        <v>51</v>
      </c>
      <c r="AM20" s="27">
        <f ca="1">AVERAGE(OFFSET($M$18,0,0,361))</f>
        <v>4.4024238945388492E-3</v>
      </c>
      <c r="AN20" s="28">
        <f ca="1">VAR(OFFSET($M$18,0,0,361))</f>
        <v>1.5921823735482121E-4</v>
      </c>
      <c r="AO20" s="27">
        <f t="shared" ca="1" si="7"/>
        <v>1.2618170919543816E-2</v>
      </c>
    </row>
    <row r="21" spans="1:41" x14ac:dyDescent="0.2">
      <c r="A21" s="2">
        <v>44347</v>
      </c>
      <c r="B21" s="2"/>
      <c r="C21" s="21">
        <v>8738.77</v>
      </c>
      <c r="D21" s="24">
        <f t="shared" si="0"/>
        <v>6.9841994155444009E-3</v>
      </c>
      <c r="E21" s="20"/>
      <c r="F21" s="20">
        <v>11671.26</v>
      </c>
      <c r="G21" s="24">
        <f t="shared" si="1"/>
        <v>2.062291152238771E-3</v>
      </c>
      <c r="H21" s="20"/>
      <c r="I21" s="20">
        <v>2337.2199999999998</v>
      </c>
      <c r="J21" s="24">
        <f t="shared" si="2"/>
        <v>3.2666411974535681E-3</v>
      </c>
      <c r="K21" s="20"/>
      <c r="L21" s="20">
        <v>2477.44</v>
      </c>
      <c r="M21" s="14">
        <f t="shared" si="3"/>
        <v>3.446837293888505E-3</v>
      </c>
      <c r="N21" s="35"/>
      <c r="R21" s="13"/>
      <c r="S21" s="13"/>
      <c r="Y21" s="13"/>
      <c r="Z21" s="13"/>
      <c r="AF21" s="13"/>
      <c r="AG21" s="13"/>
      <c r="AM21" s="13"/>
      <c r="AN21" s="13"/>
    </row>
    <row r="22" spans="1:41" x14ac:dyDescent="0.2">
      <c r="A22" s="2">
        <v>44316</v>
      </c>
      <c r="B22" s="2"/>
      <c r="C22" s="21">
        <v>8678.16</v>
      </c>
      <c r="D22" s="24">
        <f t="shared" si="0"/>
        <v>5.3369068080519666E-2</v>
      </c>
      <c r="E22" s="20"/>
      <c r="F22" s="20">
        <v>11647.24</v>
      </c>
      <c r="G22" s="24">
        <f t="shared" si="1"/>
        <v>2.099809777606354E-2</v>
      </c>
      <c r="H22" s="20"/>
      <c r="I22" s="20">
        <v>2329.61</v>
      </c>
      <c r="J22" s="24">
        <f t="shared" si="2"/>
        <v>7.9001449369417998E-3</v>
      </c>
      <c r="K22" s="20"/>
      <c r="L22" s="20">
        <v>2468.9299999999998</v>
      </c>
      <c r="M22" s="14">
        <f t="shared" si="3"/>
        <v>7.5003570627001359E-3</v>
      </c>
      <c r="N22" s="35"/>
    </row>
    <row r="23" spans="1:41" x14ac:dyDescent="0.2">
      <c r="A23" s="2">
        <v>44286</v>
      </c>
      <c r="B23" s="2"/>
      <c r="C23" s="21">
        <v>8238.48</v>
      </c>
      <c r="D23" s="24">
        <f t="shared" si="0"/>
        <v>4.3795555701961586E-2</v>
      </c>
      <c r="E23" s="20"/>
      <c r="F23" s="20">
        <v>11407.7</v>
      </c>
      <c r="G23" s="24">
        <f t="shared" si="1"/>
        <v>1.0044040069911553E-2</v>
      </c>
      <c r="H23" s="20"/>
      <c r="I23" s="20">
        <v>2311.35</v>
      </c>
      <c r="J23" s="24">
        <f t="shared" si="2"/>
        <v>-1.2488357586581067E-2</v>
      </c>
      <c r="K23" s="20"/>
      <c r="L23" s="20">
        <v>2450.5500000000002</v>
      </c>
      <c r="M23" s="14">
        <f t="shared" si="3"/>
        <v>-1.5416325153078447E-2</v>
      </c>
      <c r="N23" s="35"/>
      <c r="P23" s="59" t="s">
        <v>10</v>
      </c>
      <c r="Q23" s="59"/>
      <c r="R23" s="59"/>
      <c r="S23" s="59"/>
      <c r="T23" s="59"/>
      <c r="W23" s="59" t="s">
        <v>10</v>
      </c>
      <c r="X23" s="59"/>
      <c r="Y23" s="59"/>
      <c r="Z23" s="59"/>
      <c r="AA23" s="59"/>
      <c r="AD23" s="59" t="s">
        <v>10</v>
      </c>
      <c r="AE23" s="59"/>
      <c r="AF23" s="59"/>
      <c r="AG23" s="59"/>
      <c r="AH23" s="59"/>
      <c r="AK23" s="59" t="s">
        <v>10</v>
      </c>
      <c r="AL23" s="59"/>
      <c r="AM23" s="59"/>
      <c r="AN23" s="59"/>
      <c r="AO23" s="59"/>
    </row>
    <row r="24" spans="1:41" x14ac:dyDescent="0.2">
      <c r="A24" s="2">
        <v>44253</v>
      </c>
      <c r="B24" s="2"/>
      <c r="C24" s="21">
        <v>7892.81</v>
      </c>
      <c r="D24" s="24">
        <f t="shared" si="0"/>
        <v>2.7574498666190994E-2</v>
      </c>
      <c r="E24" s="20"/>
      <c r="F24" s="20">
        <v>11294.26</v>
      </c>
      <c r="G24" s="24">
        <f t="shared" si="1"/>
        <v>6.2325285656775531E-2</v>
      </c>
      <c r="H24" s="20"/>
      <c r="I24" s="20">
        <v>2340.58</v>
      </c>
      <c r="J24" s="24">
        <f t="shared" si="2"/>
        <v>-1.4438685064866674E-2</v>
      </c>
      <c r="K24" s="20"/>
      <c r="L24" s="20">
        <v>2488.92</v>
      </c>
      <c r="M24" s="14">
        <f t="shared" si="3"/>
        <v>-1.8146529279030488E-2</v>
      </c>
      <c r="N24" s="35"/>
      <c r="Q24" t="s">
        <v>61</v>
      </c>
      <c r="R24" t="s">
        <v>62</v>
      </c>
      <c r="S24" t="s">
        <v>69</v>
      </c>
      <c r="T24" t="s">
        <v>68</v>
      </c>
      <c r="X24" t="s">
        <v>61</v>
      </c>
      <c r="Y24" t="s">
        <v>62</v>
      </c>
      <c r="Z24" t="s">
        <v>69</v>
      </c>
      <c r="AA24" t="s">
        <v>68</v>
      </c>
      <c r="AE24" t="s">
        <v>61</v>
      </c>
      <c r="AF24" t="s">
        <v>62</v>
      </c>
      <c r="AG24" t="s">
        <v>69</v>
      </c>
      <c r="AH24" t="s">
        <v>68</v>
      </c>
      <c r="AL24" t="s">
        <v>61</v>
      </c>
      <c r="AM24" t="s">
        <v>62</v>
      </c>
      <c r="AN24" t="s">
        <v>69</v>
      </c>
      <c r="AO24" t="s">
        <v>68</v>
      </c>
    </row>
    <row r="25" spans="1:41" x14ac:dyDescent="0.2">
      <c r="A25" s="2">
        <v>44225</v>
      </c>
      <c r="B25" s="2"/>
      <c r="C25" s="21">
        <v>7681.01</v>
      </c>
      <c r="D25" s="24">
        <f t="shared" si="0"/>
        <v>-1.009620651214338E-2</v>
      </c>
      <c r="E25" s="20"/>
      <c r="F25" s="20">
        <v>10631.64</v>
      </c>
      <c r="G25" s="24">
        <f t="shared" si="1"/>
        <v>5.0321716373896264E-2</v>
      </c>
      <c r="H25" s="20"/>
      <c r="I25" s="20">
        <v>2374.87</v>
      </c>
      <c r="J25" s="24">
        <f t="shared" si="2"/>
        <v>-7.1696724943771661E-3</v>
      </c>
      <c r="K25" s="20"/>
      <c r="L25" s="20">
        <v>2534.92</v>
      </c>
      <c r="M25" s="14">
        <f t="shared" si="3"/>
        <v>-9.5647417363444731E-3</v>
      </c>
      <c r="N25" s="35"/>
      <c r="P25" t="s">
        <v>61</v>
      </c>
      <c r="Q25" s="26">
        <f ca="1">COVAR(OFFSET($D$18,0,0,61),OFFSET($D$18,0,0,61))</f>
        <v>1.8072684386299493E-3</v>
      </c>
      <c r="R25" s="26">
        <f ca="1">COVAR(OFFSET($D$18,0,0,61),OFFSET($G$18,0,0,61))</f>
        <v>2.2214728886764032E-3</v>
      </c>
      <c r="S25" s="26">
        <f ca="1">COVAR(OFFSET($D$18,0,0,61),OFFSET($J$18,0,0,61))</f>
        <v>4.2544106292575469E-6</v>
      </c>
      <c r="T25" s="26">
        <f ca="1">COVAR(OFFSET($D$18,0,0,61),OFFSET($M$18,0,0,61))</f>
        <v>-1.7143560985175045E-4</v>
      </c>
      <c r="W25" t="s">
        <v>61</v>
      </c>
      <c r="X25" s="26">
        <f ca="1">COVAR(OFFSET($D$18,0,0,121),OFFSET($D$18,0,0,121))</f>
        <v>1.5072604708891186E-3</v>
      </c>
      <c r="Y25" s="26">
        <f ca="1">COVAR(OFFSET($D$18,0,0,121),OFFSET($G$18,0,0,121))</f>
        <v>1.8490372844869201E-3</v>
      </c>
      <c r="Z25" s="26">
        <f ca="1">COVAR(OFFSET($D$18,0,0,121),OFFSET($J$18,0,0,121))</f>
        <v>-1.9484908636491557E-5</v>
      </c>
      <c r="AA25" s="26">
        <f ca="1">COVAR(OFFSET($D$18,0,0,121),OFFSET($M$18,0,0,121))</f>
        <v>-1.6276584468265489E-4</v>
      </c>
      <c r="AD25" t="s">
        <v>61</v>
      </c>
      <c r="AE25" s="26">
        <f ca="1">COVAR(OFFSET($D$18,0,0,241),OFFSET($D$18,0,0,241))</f>
        <v>1.8113965356604306E-3</v>
      </c>
      <c r="AF25" s="26">
        <f ca="1">COVAR(OFFSET($D$18,0,0,241),OFFSET($G$18,0,0,241))</f>
        <v>2.1534056390751215E-3</v>
      </c>
      <c r="AG25" s="26">
        <f ca="1">COVAR(OFFSET($D$18,0,0,241),OFFSET($J$18,0,0,241))</f>
        <v>-3.2557963771479263E-5</v>
      </c>
      <c r="AH25" s="26">
        <f ca="1">COVAR(OFFSET($D$18,0,0,241),OFFSET($M$18,0,0,241))</f>
        <v>-1.9524547687916347E-4</v>
      </c>
      <c r="AK25" t="s">
        <v>61</v>
      </c>
      <c r="AL25" s="26">
        <f ca="1">COVAR(OFFSET($D$18,0,0,361),OFFSET($D$18,0,0,361))</f>
        <v>1.7410694885355274E-3</v>
      </c>
      <c r="AM25" s="26">
        <f ca="1">COVAR(OFFSET($D$18,0,0,361),OFFSET($G$18,0,0,361))</f>
        <v>1.8690234023970506E-3</v>
      </c>
      <c r="AN25" s="26">
        <f ca="1">COVAR(OFFSET($D$18,0,0,361),OFFSET($J$18,0,0,361))</f>
        <v>2.0301129154400795E-5</v>
      </c>
      <c r="AO25" s="26">
        <f ca="1">COVAR(OFFSET($D$18,0,0,361),OFFSET($M$18,0,0,361))</f>
        <v>-9.4569792767631552E-5</v>
      </c>
    </row>
    <row r="26" spans="1:41" x14ac:dyDescent="0.2">
      <c r="A26" s="2">
        <v>44196</v>
      </c>
      <c r="B26" s="2"/>
      <c r="C26" s="21">
        <v>7759.35</v>
      </c>
      <c r="D26" s="24">
        <f t="shared" si="0"/>
        <v>3.8448567061827754E-2</v>
      </c>
      <c r="E26" s="20"/>
      <c r="F26" s="20">
        <v>10122.27</v>
      </c>
      <c r="G26" s="24">
        <f t="shared" si="1"/>
        <v>8.6501316497055392E-2</v>
      </c>
      <c r="H26" s="20"/>
      <c r="I26" s="20">
        <v>2392.02</v>
      </c>
      <c r="J26" s="24">
        <f t="shared" si="2"/>
        <v>1.3773009088511312E-3</v>
      </c>
      <c r="K26" s="20"/>
      <c r="L26" s="20">
        <v>2559.4</v>
      </c>
      <c r="M26" s="14">
        <f t="shared" si="3"/>
        <v>-2.3154825481223051E-3</v>
      </c>
      <c r="N26" s="35"/>
      <c r="P26" t="s">
        <v>62</v>
      </c>
      <c r="Q26" s="26">
        <f ca="1">COVAR(OFFSET($D$18,0,0,61),OFFSET($G$18,0,0,61))</f>
        <v>2.2214728886764032E-3</v>
      </c>
      <c r="R26" s="26">
        <f ca="1">COVAR(OFFSET($G$18,0,0,61),OFFSET($G$18,0,0,61))</f>
        <v>3.5638362642350608E-3</v>
      </c>
      <c r="S26" s="26">
        <f ca="1">COVAR(OFFSET($G$18,0,0,61),OFFSET($J$18,0,0,61))</f>
        <v>-5.9782310124655832E-5</v>
      </c>
      <c r="T26" s="26">
        <f ca="1">COVAR(OFFSET($G$18,0,0,61),OFFSET($M$18,0,0,61))</f>
        <v>-3.2533340152038256E-4</v>
      </c>
      <c r="W26" t="s">
        <v>62</v>
      </c>
      <c r="X26" s="26">
        <f ca="1">COVAR(OFFSET($D$18,0,0,121),OFFSET($G$18,0,0,121))</f>
        <v>1.8490372844869201E-3</v>
      </c>
      <c r="Y26" s="26">
        <f ca="1">COVAR(OFFSET($G$18,0,0,121),OFFSET($G$18,0,0,121))</f>
        <v>2.9223801061500345E-3</v>
      </c>
      <c r="Z26" s="26">
        <f ca="1">COVAR(OFFSET($G$18,0,0,121),OFFSET($J$18,0,0,121))</f>
        <v>-6.5746801789173226E-5</v>
      </c>
      <c r="AA26" s="26">
        <f ca="1">COVAR(OFFSET($G$18,0,0,121),OFFSET($M$18,0,0,121))</f>
        <v>-2.6903987316888295E-4</v>
      </c>
      <c r="AD26" t="s">
        <v>62</v>
      </c>
      <c r="AE26" s="26">
        <f ca="1">COVAR(OFFSET($D$18,0,0,241),OFFSET($G$18,0,0,241))</f>
        <v>2.1534056390751215E-3</v>
      </c>
      <c r="AF26" s="26">
        <f ca="1">COVAR(OFFSET($G$18,0,0,241),OFFSET($G$18,0,0,241))</f>
        <v>3.2528137868079983E-3</v>
      </c>
      <c r="AG26" s="26">
        <f ca="1">COVAR(OFFSET($G$18,0,0,241),OFFSET($J$18,0,0,241))</f>
        <v>-7.1479503203488682E-5</v>
      </c>
      <c r="AH26" s="26">
        <f ca="1">COVAR(OFFSET($G$18,0,0,241),OFFSET($M$18,0,0,241))</f>
        <v>-2.8415425272887852E-4</v>
      </c>
      <c r="AK26" t="s">
        <v>62</v>
      </c>
      <c r="AL26" s="26">
        <f ca="1">COVAR(OFFSET($D$18,0,0,361),OFFSET($G$18,0,0,361))</f>
        <v>1.8690234023970506E-3</v>
      </c>
      <c r="AM26" s="26">
        <f ca="1">COVAR(OFFSET($G$18,0,0,361),OFFSET($G$18,0,0,361))</f>
        <v>3.015807360847435E-3</v>
      </c>
      <c r="AN26" s="26">
        <f ca="1">COVAR(OFFSET($G$18,0,0,361),OFFSET($J$18,0,0,361))</f>
        <v>-3.1093028402593722E-5</v>
      </c>
      <c r="AO26" s="26">
        <f ca="1">COVAR(OFFSET($G$18,0,0,361),OFFSET($M$18,0,0,361))</f>
        <v>-1.8628713948779508E-4</v>
      </c>
    </row>
    <row r="27" spans="1:41" x14ac:dyDescent="0.2">
      <c r="A27" s="2">
        <v>44165</v>
      </c>
      <c r="B27" s="2"/>
      <c r="C27" s="21">
        <v>7472.06</v>
      </c>
      <c r="D27" s="24">
        <f t="shared" si="0"/>
        <v>0.10946362497104611</v>
      </c>
      <c r="E27" s="20"/>
      <c r="F27" s="20">
        <v>9316.39</v>
      </c>
      <c r="G27" s="24">
        <f t="shared" si="1"/>
        <v>0.18432399998983007</v>
      </c>
      <c r="H27" s="20"/>
      <c r="I27" s="20">
        <v>2388.73</v>
      </c>
      <c r="J27" s="24">
        <f t="shared" si="2"/>
        <v>9.8117961378469953E-3</v>
      </c>
      <c r="K27" s="20"/>
      <c r="L27" s="20">
        <v>2565.34</v>
      </c>
      <c r="M27" s="14">
        <f t="shared" si="3"/>
        <v>3.4814038271973047E-3</v>
      </c>
      <c r="N27" s="35"/>
      <c r="P27" t="s">
        <v>67</v>
      </c>
      <c r="Q27" s="26">
        <f ca="1">COVAR(OFFSET($D$18,0,0,61),OFFSET($J$18,0,0,61))</f>
        <v>4.2544106292575469E-6</v>
      </c>
      <c r="R27" s="26">
        <f ca="1">COVAR(OFFSET($G$18,0,0,61),OFFSET($J$18,0,0,61))</f>
        <v>-5.9782310124655832E-5</v>
      </c>
      <c r="S27" s="26">
        <f ca="1">COVAR(OFFSET($J$18,0,0,61),OFFSET($J$18,0,0,61))</f>
        <v>8.6581499955999076E-5</v>
      </c>
      <c r="T27" s="26">
        <f ca="1">COVAR(OFFSET($J$18,0,0,61),OFFSET($M$18,0,0,61))</f>
        <v>9.2166259885176094E-5</v>
      </c>
      <c r="W27" t="s">
        <v>67</v>
      </c>
      <c r="X27" s="26">
        <f ca="1">COVAR(OFFSET($D$18,0,0,121),OFFSET($J$18,0,0,121))</f>
        <v>-1.9484908636491557E-5</v>
      </c>
      <c r="Y27" s="26">
        <f ca="1">COVAR(OFFSET($G$18,0,0,121),OFFSET($J$18,0,0,121))</f>
        <v>-6.5746801789173226E-5</v>
      </c>
      <c r="Z27" s="26">
        <f ca="1">COVAR(OFFSET($J$18,0,0,121),OFFSET($J$18,0,0,121))</f>
        <v>7.3582725190885981E-5</v>
      </c>
      <c r="AA27" s="26">
        <f ca="1">COVAR(OFFSET($J$18,0,0,121),OFFSET($M$18,0,0,121))</f>
        <v>7.9441678510865847E-5</v>
      </c>
      <c r="AD27" t="s">
        <v>67</v>
      </c>
      <c r="AE27" s="26">
        <f ca="1">COVAR(OFFSET($D$18,0,0,241),OFFSET($J$18,0,0,241))</f>
        <v>-3.2557963771479263E-5</v>
      </c>
      <c r="AF27" s="26">
        <f ca="1">COVAR(OFFSET($G$18,0,0,241),OFFSET($J$18,0,0,241))</f>
        <v>-7.1479503203488682E-5</v>
      </c>
      <c r="AG27" s="26">
        <f ca="1">COVAR(OFFSET($J$18,0,0,241),OFFSET($J$18,0,0,241))</f>
        <v>9.6835184314006335E-5</v>
      </c>
      <c r="AH27" s="26">
        <f ca="1">COVAR(OFFSET($J$18,0,0,241),OFFSET($M$18,0,0,241))</f>
        <v>1.1212163990322465E-4</v>
      </c>
      <c r="AK27" t="s">
        <v>67</v>
      </c>
      <c r="AL27" s="26">
        <f ca="1">COVAR(OFFSET($D$18,0,0,361),OFFSET($J$18,0,0,361))</f>
        <v>2.0301129154400795E-5</v>
      </c>
      <c r="AM27" s="26">
        <f ca="1">COVAR(OFFSET($G$18,0,0,361),OFFSET($J$18,0,0,361))</f>
        <v>-3.1093028402593722E-5</v>
      </c>
      <c r="AN27" s="26">
        <f ca="1">COVAR(OFFSET($J$18,0,0,361),OFFSET($J$18,0,0,361))</f>
        <v>1.0567282144036998E-4</v>
      </c>
      <c r="AO27" s="26">
        <f ca="1">COVAR(OFFSET($J$18,0,0,361),OFFSET($M$18,0,0,361))</f>
        <v>1.1930579424238472E-4</v>
      </c>
    </row>
    <row r="28" spans="1:41" x14ac:dyDescent="0.2">
      <c r="A28" s="2">
        <v>44134</v>
      </c>
      <c r="B28" s="2"/>
      <c r="C28" s="21">
        <v>6734.84</v>
      </c>
      <c r="D28" s="24">
        <f t="shared" si="0"/>
        <v>-2.6592646444557833E-2</v>
      </c>
      <c r="E28" s="20"/>
      <c r="F28" s="20">
        <v>7866.42</v>
      </c>
      <c r="G28" s="24">
        <f t="shared" si="1"/>
        <v>2.0944732279131628E-2</v>
      </c>
      <c r="H28" s="20"/>
      <c r="I28" s="20">
        <v>2365.52</v>
      </c>
      <c r="J28" s="24">
        <f t="shared" si="2"/>
        <v>-4.465243905005245E-3</v>
      </c>
      <c r="K28" s="20"/>
      <c r="L28" s="20">
        <v>2556.44</v>
      </c>
      <c r="M28" s="14">
        <f t="shared" si="3"/>
        <v>-9.4274189486083237E-3</v>
      </c>
      <c r="N28" s="35"/>
      <c r="P28" t="s">
        <v>68</v>
      </c>
      <c r="Q28" s="26">
        <f ca="1">COVAR(OFFSET($D$18,0,0,61),OFFSET($M$18,0,0,61))</f>
        <v>-1.7143560985175045E-4</v>
      </c>
      <c r="R28" s="26">
        <f ca="1">COVAR(OFFSET($G$18,0,0,61),OFFSET($M$18,0,0,61))</f>
        <v>-3.2533340152038256E-4</v>
      </c>
      <c r="S28" s="26">
        <f ca="1">COVAR(OFFSET($J$18,0,0,61),OFFSET($M$18,0,0,61))</f>
        <v>9.2166259885176094E-5</v>
      </c>
      <c r="T28" s="26">
        <f ca="1">COVAR(OFFSET($M$18,0,0,61),OFFSET($M$18,0,0,61))</f>
        <v>1.3078838495466974E-4</v>
      </c>
      <c r="W28" t="s">
        <v>68</v>
      </c>
      <c r="X28" s="26">
        <f ca="1">COVAR(OFFSET($D$18,0,0,121),OFFSET($M$18,0,0,121))</f>
        <v>-1.6276584468265489E-4</v>
      </c>
      <c r="Y28" s="26">
        <f ca="1">COVAR(OFFSET($G$18,0,0,121),OFFSET($M$18,0,0,121))</f>
        <v>-2.6903987316888295E-4</v>
      </c>
      <c r="Z28" s="26">
        <f ca="1">COVAR(OFFSET($J$18,0,0,121),OFFSET($M$18,0,0,121))</f>
        <v>7.9441678510865847E-5</v>
      </c>
      <c r="AA28" s="26">
        <f ca="1">COVAR(OFFSET($M$18,0,0,121),OFFSET($M$18,0,0,121))</f>
        <v>1.1053696201792428E-4</v>
      </c>
      <c r="AD28" t="s">
        <v>68</v>
      </c>
      <c r="AE28" s="26">
        <f ca="1">COVAR(OFFSET($D$18,0,0,241),OFFSET($M$18,0,0,241))</f>
        <v>-1.9524547687916347E-4</v>
      </c>
      <c r="AF28" s="26">
        <f ca="1">COVAR(OFFSET($G$18,0,0,241),OFFSET($M$18,0,0,241))</f>
        <v>-2.8415425272887852E-4</v>
      </c>
      <c r="AG28" s="26">
        <f ca="1">COVAR(OFFSET($J$18,0,0,241),OFFSET($M$18,0,0,241))</f>
        <v>1.1212163990322465E-4</v>
      </c>
      <c r="AH28" s="26">
        <f ca="1">COVAR(OFFSET($M$18,0,0,241),OFFSET($M$18,0,0,241))</f>
        <v>1.6237362207618302E-4</v>
      </c>
      <c r="AK28" t="s">
        <v>68</v>
      </c>
      <c r="AL28" s="26">
        <f ca="1">COVAR(OFFSET($D$18,0,0,361),OFFSET($M$18,0,0,361))</f>
        <v>-9.4569792767631552E-5</v>
      </c>
      <c r="AM28" s="26">
        <f ca="1">COVAR(OFFSET($G$18,0,0,361),OFFSET($M$18,0,0,361))</f>
        <v>-1.8628713948779508E-4</v>
      </c>
      <c r="AN28" s="26">
        <f ca="1">COVAR(OFFSET($J$18,0,0,361),OFFSET($M$18,0,0,361))</f>
        <v>1.1930579424238472E-4</v>
      </c>
      <c r="AO28" s="26">
        <f ca="1">COVAR(OFFSET($M$18,0,0,361),OFFSET($M$18,0,0,361))</f>
        <v>1.5877718960591577E-4</v>
      </c>
    </row>
    <row r="29" spans="1:41" x14ac:dyDescent="0.2">
      <c r="A29" s="2">
        <v>44104</v>
      </c>
      <c r="B29" s="2"/>
      <c r="C29" s="21">
        <v>6918.83</v>
      </c>
      <c r="D29" s="24">
        <f t="shared" si="0"/>
        <v>-3.7997194147475488E-2</v>
      </c>
      <c r="E29" s="20"/>
      <c r="F29" s="20">
        <v>7705.04</v>
      </c>
      <c r="G29" s="24">
        <f t="shared" si="1"/>
        <v>-3.3403543457725338E-2</v>
      </c>
      <c r="H29" s="20"/>
      <c r="I29" s="20">
        <v>2376.13</v>
      </c>
      <c r="J29" s="24">
        <f t="shared" si="2"/>
        <v>-5.4680894915926093E-4</v>
      </c>
      <c r="K29" s="20"/>
      <c r="L29" s="20">
        <v>2580.77</v>
      </c>
      <c r="M29" s="14">
        <f t="shared" si="3"/>
        <v>1.3852242744063492E-3</v>
      </c>
      <c r="N29" s="35"/>
    </row>
    <row r="30" spans="1:41" x14ac:dyDescent="0.2">
      <c r="A30" s="2">
        <v>44074</v>
      </c>
      <c r="B30" s="2"/>
      <c r="C30" s="21">
        <v>7192.11</v>
      </c>
      <c r="D30" s="24">
        <f t="shared" si="0"/>
        <v>7.1879829682211405E-2</v>
      </c>
      <c r="E30" s="20"/>
      <c r="F30" s="20">
        <v>7971.31</v>
      </c>
      <c r="G30" s="24">
        <f t="shared" si="1"/>
        <v>5.6342712963183939E-2</v>
      </c>
      <c r="H30" s="20"/>
      <c r="I30" s="20">
        <v>2377.4299999999998</v>
      </c>
      <c r="J30" s="24">
        <f t="shared" si="2"/>
        <v>-8.0733317200578636E-3</v>
      </c>
      <c r="K30" s="20"/>
      <c r="L30" s="20">
        <v>2577.1999999999998</v>
      </c>
      <c r="M30" s="14">
        <f t="shared" si="3"/>
        <v>-1.0952742790915404E-2</v>
      </c>
      <c r="N30" s="35"/>
    </row>
    <row r="31" spans="1:41" x14ac:dyDescent="0.2">
      <c r="A31" s="2">
        <v>44043</v>
      </c>
      <c r="B31" s="2"/>
      <c r="C31" s="21">
        <v>6709.81</v>
      </c>
      <c r="D31" s="24">
        <f t="shared" si="0"/>
        <v>5.6385171143966906E-2</v>
      </c>
      <c r="E31" s="20"/>
      <c r="F31" s="20">
        <v>7546.14</v>
      </c>
      <c r="G31" s="24">
        <f t="shared" si="1"/>
        <v>2.7678437674488299E-2</v>
      </c>
      <c r="H31" s="20"/>
      <c r="I31" s="20">
        <v>2396.7800000000002</v>
      </c>
      <c r="J31" s="24">
        <f t="shared" si="2"/>
        <v>1.4935359155794359E-2</v>
      </c>
      <c r="K31" s="20"/>
      <c r="L31" s="20">
        <v>2605.7399999999998</v>
      </c>
      <c r="M31" s="14">
        <f t="shared" si="3"/>
        <v>1.1427240616387779E-2</v>
      </c>
      <c r="N31" s="35"/>
      <c r="P31" t="s">
        <v>70</v>
      </c>
      <c r="Q31" s="30">
        <f ca="1">PortfolioReturn(Q37:T37,R17:R20)</f>
        <v>1.2803953726967439E-2</v>
      </c>
      <c r="S31" t="s">
        <v>75</v>
      </c>
      <c r="T31" s="26">
        <v>1.2803953726967439E-2</v>
      </c>
      <c r="W31" t="s">
        <v>70</v>
      </c>
      <c r="X31" s="30">
        <f ca="1">PortfolioReturn(X37:AA37,Y17:Y20)</f>
        <v>1.1220836745208327E-2</v>
      </c>
      <c r="Z31" t="s">
        <v>75</v>
      </c>
      <c r="AA31" s="26">
        <v>1.1220836745208327E-2</v>
      </c>
      <c r="AD31" t="s">
        <v>70</v>
      </c>
      <c r="AE31" s="30">
        <f ca="1">PortfolioReturn(AE37:AH37,AF17:AF20)</f>
        <v>4.0729559231306982E-3</v>
      </c>
      <c r="AG31" t="s">
        <v>75</v>
      </c>
      <c r="AH31" s="26">
        <v>8.1819815806892481E-3</v>
      </c>
      <c r="AK31" t="s">
        <v>70</v>
      </c>
      <c r="AL31" s="30">
        <f ca="1">PortfolioReturn(AL37:AO37,AM17:AM20)</f>
        <v>5.033743436516927E-3</v>
      </c>
      <c r="AN31" t="s">
        <v>75</v>
      </c>
      <c r="AO31" s="26">
        <v>9.136357537808313E-3</v>
      </c>
    </row>
    <row r="32" spans="1:41" x14ac:dyDescent="0.2">
      <c r="A32" s="2">
        <v>44012</v>
      </c>
      <c r="B32" s="2"/>
      <c r="C32" s="21">
        <v>6351.67</v>
      </c>
      <c r="D32" s="24">
        <f t="shared" si="0"/>
        <v>1.9888211104706066E-2</v>
      </c>
      <c r="E32" s="20"/>
      <c r="F32" s="20">
        <v>7342.9</v>
      </c>
      <c r="G32" s="24">
        <f t="shared" si="1"/>
        <v>3.5347233090954777E-2</v>
      </c>
      <c r="H32" s="20"/>
      <c r="I32" s="20">
        <v>2361.5100000000002</v>
      </c>
      <c r="J32" s="24">
        <f t="shared" si="2"/>
        <v>6.302413581509736E-3</v>
      </c>
      <c r="K32" s="20"/>
      <c r="L32" s="20">
        <v>2576.3000000000002</v>
      </c>
      <c r="M32" s="14">
        <f t="shared" si="3"/>
        <v>9.36325950215533E-4</v>
      </c>
      <c r="N32" s="35"/>
      <c r="P32" t="s">
        <v>71</v>
      </c>
      <c r="Q32" s="30">
        <f ca="1">PortfolioVariance(Q37:T37,Q25:T28)</f>
        <v>1.8878606349904343E-3</v>
      </c>
      <c r="S32" t="s">
        <v>76</v>
      </c>
      <c r="T32" s="26">
        <v>8.0892199837819684E-5</v>
      </c>
      <c r="W32" t="s">
        <v>71</v>
      </c>
      <c r="X32" s="30">
        <f ca="1">PortfolioVariance(X37:AA37,X25:AA28)</f>
        <v>1.5623643514473503E-3</v>
      </c>
      <c r="Z32" t="s">
        <v>76</v>
      </c>
      <c r="AA32" s="26">
        <v>6.6491342754134385E-5</v>
      </c>
      <c r="AD32" t="s">
        <v>71</v>
      </c>
      <c r="AE32" s="30">
        <f ca="1">PortfolioVariance(AE37:AH37,AE25:AH28)</f>
        <v>9.4086923040457348E-5</v>
      </c>
      <c r="AG32" t="s">
        <v>76</v>
      </c>
      <c r="AH32" s="26">
        <v>9.4086923040457348E-5</v>
      </c>
      <c r="AK32" t="s">
        <v>71</v>
      </c>
      <c r="AL32" s="30">
        <f ca="1">PortfolioVariance(AL37:AO37,AL25:AO28)</f>
        <v>1.0900831027680887E-4</v>
      </c>
      <c r="AN32" t="s">
        <v>76</v>
      </c>
      <c r="AO32" s="26">
        <v>1.0900831027680887E-4</v>
      </c>
    </row>
    <row r="33" spans="1:41" x14ac:dyDescent="0.2">
      <c r="A33" s="2">
        <v>43980</v>
      </c>
      <c r="B33" s="2"/>
      <c r="C33" s="21">
        <v>6227.81</v>
      </c>
      <c r="D33" s="24">
        <f t="shared" si="0"/>
        <v>4.7627458500709929E-2</v>
      </c>
      <c r="E33" s="20"/>
      <c r="F33" s="20">
        <v>7092.21</v>
      </c>
      <c r="G33" s="24">
        <f t="shared" si="1"/>
        <v>6.5075508193570109E-2</v>
      </c>
      <c r="H33" s="20"/>
      <c r="I33" s="20">
        <v>2346.7199999999998</v>
      </c>
      <c r="J33" s="24">
        <f t="shared" si="2"/>
        <v>4.6535522400839024E-3</v>
      </c>
      <c r="K33" s="20"/>
      <c r="L33" s="20">
        <v>2573.89</v>
      </c>
      <c r="M33" s="14">
        <f t="shared" si="3"/>
        <v>-2.5344613107117775E-3</v>
      </c>
      <c r="N33" s="35"/>
      <c r="P33" t="s">
        <v>72</v>
      </c>
      <c r="Q33" s="30">
        <f ca="1">SQRT(Q32)</f>
        <v>4.3449518236574662E-2</v>
      </c>
      <c r="S33" t="s">
        <v>77</v>
      </c>
      <c r="T33" s="26">
        <v>8.9940091081685963E-3</v>
      </c>
      <c r="W33" t="s">
        <v>72</v>
      </c>
      <c r="X33" s="30">
        <f ca="1">SQRT(X32)</f>
        <v>3.9526754881312361E-2</v>
      </c>
      <c r="Z33" t="s">
        <v>77</v>
      </c>
      <c r="AA33" s="26">
        <v>8.1542223880719852E-3</v>
      </c>
      <c r="AD33" t="s">
        <v>72</v>
      </c>
      <c r="AE33" s="30">
        <f ca="1">SQRT(AE32)</f>
        <v>9.6998413925412901E-3</v>
      </c>
      <c r="AG33" t="s">
        <v>77</v>
      </c>
      <c r="AH33" s="26">
        <v>9.6998413925412901E-3</v>
      </c>
      <c r="AK33" t="s">
        <v>72</v>
      </c>
      <c r="AL33" s="30">
        <f ca="1">SQRT(AL32)</f>
        <v>1.0440704491403292E-2</v>
      </c>
      <c r="AN33" t="s">
        <v>77</v>
      </c>
      <c r="AO33" s="26">
        <v>1.0440704491403292E-2</v>
      </c>
    </row>
    <row r="34" spans="1:41" x14ac:dyDescent="0.2">
      <c r="A34" s="2">
        <v>43951</v>
      </c>
      <c r="B34" s="2"/>
      <c r="C34" s="21">
        <v>5944.68</v>
      </c>
      <c r="D34" s="24">
        <f t="shared" si="0"/>
        <v>0.12819403324982925</v>
      </c>
      <c r="E34" s="20"/>
      <c r="F34" s="20">
        <v>6658.88</v>
      </c>
      <c r="G34" s="24">
        <f t="shared" si="1"/>
        <v>0.13735436938806544</v>
      </c>
      <c r="H34" s="20"/>
      <c r="I34" s="20">
        <v>2335.85</v>
      </c>
      <c r="J34" s="24">
        <f t="shared" si="2"/>
        <v>1.7777390470795629E-2</v>
      </c>
      <c r="K34" s="20"/>
      <c r="L34" s="20">
        <v>2580.4299999999998</v>
      </c>
      <c r="M34" s="14">
        <f t="shared" si="3"/>
        <v>6.3608567461741483E-3</v>
      </c>
      <c r="N34" s="35"/>
    </row>
    <row r="35" spans="1:41" x14ac:dyDescent="0.2">
      <c r="A35" s="2">
        <v>43921</v>
      </c>
      <c r="B35" s="2"/>
      <c r="C35" s="21">
        <v>5269.2</v>
      </c>
      <c r="D35" s="24">
        <f t="shared" si="0"/>
        <v>-0.12351353104680352</v>
      </c>
      <c r="E35" s="20"/>
      <c r="F35" s="20">
        <v>5854.71</v>
      </c>
      <c r="G35" s="24">
        <f t="shared" si="1"/>
        <v>-0.21726487704901598</v>
      </c>
      <c r="H35" s="20"/>
      <c r="I35" s="20">
        <v>2295.0500000000002</v>
      </c>
      <c r="J35" s="24">
        <f t="shared" si="2"/>
        <v>-5.8865825767550062E-3</v>
      </c>
      <c r="K35" s="20"/>
      <c r="L35" s="20">
        <v>2564.12</v>
      </c>
      <c r="M35" s="14">
        <f t="shared" si="3"/>
        <v>2.8924094316303162E-2</v>
      </c>
      <c r="N35" s="35"/>
      <c r="P35" s="59" t="s">
        <v>66</v>
      </c>
      <c r="Q35" s="59"/>
      <c r="R35" s="59"/>
      <c r="S35" s="59"/>
      <c r="T35" s="59"/>
      <c r="W35" s="59" t="s">
        <v>66</v>
      </c>
      <c r="X35" s="59"/>
      <c r="Y35" s="59"/>
      <c r="Z35" s="59"/>
      <c r="AA35" s="59"/>
      <c r="AD35" s="59" t="s">
        <v>66</v>
      </c>
      <c r="AE35" s="59"/>
      <c r="AF35" s="59"/>
      <c r="AG35" s="59"/>
      <c r="AH35" s="59"/>
      <c r="AK35" s="59" t="s">
        <v>66</v>
      </c>
      <c r="AL35" s="59"/>
      <c r="AM35" s="59"/>
      <c r="AN35" s="59"/>
      <c r="AO35" s="59"/>
    </row>
    <row r="36" spans="1:41" x14ac:dyDescent="0.2">
      <c r="A36" s="2">
        <v>43889</v>
      </c>
      <c r="B36" s="2"/>
      <c r="C36" s="21">
        <v>6011.73</v>
      </c>
      <c r="D36" s="24">
        <f t="shared" si="0"/>
        <v>-8.2318729964890869E-2</v>
      </c>
      <c r="E36" s="20"/>
      <c r="F36" s="20">
        <v>7479.81</v>
      </c>
      <c r="G36" s="24">
        <f t="shared" si="1"/>
        <v>-8.4182648983269881E-2</v>
      </c>
      <c r="H36" s="20"/>
      <c r="I36" s="20">
        <v>2308.64</v>
      </c>
      <c r="J36" s="24">
        <f t="shared" si="2"/>
        <v>1.7999664876400923E-2</v>
      </c>
      <c r="K36" s="20"/>
      <c r="L36" s="20">
        <v>2492.04</v>
      </c>
      <c r="M36" s="14">
        <f t="shared" si="3"/>
        <v>2.6506679188858406E-2</v>
      </c>
      <c r="N36" s="35"/>
      <c r="Q36" t="s">
        <v>61</v>
      </c>
      <c r="R36" t="s">
        <v>62</v>
      </c>
      <c r="S36" t="s">
        <v>67</v>
      </c>
      <c r="T36" t="s">
        <v>68</v>
      </c>
      <c r="X36" t="s">
        <v>61</v>
      </c>
      <c r="Y36" t="s">
        <v>62</v>
      </c>
      <c r="Z36" t="s">
        <v>67</v>
      </c>
      <c r="AA36" t="s">
        <v>68</v>
      </c>
      <c r="AE36" t="s">
        <v>61</v>
      </c>
      <c r="AF36" t="s">
        <v>62</v>
      </c>
      <c r="AG36" t="s">
        <v>67</v>
      </c>
      <c r="AH36" t="s">
        <v>68</v>
      </c>
      <c r="AL36" t="s">
        <v>61</v>
      </c>
      <c r="AM36" t="s">
        <v>62</v>
      </c>
      <c r="AN36" t="s">
        <v>67</v>
      </c>
      <c r="AO36" t="s">
        <v>68</v>
      </c>
    </row>
    <row r="37" spans="1:41" x14ac:dyDescent="0.2">
      <c r="A37" s="2">
        <v>43861</v>
      </c>
      <c r="B37" s="2"/>
      <c r="C37" s="21">
        <v>6551</v>
      </c>
      <c r="D37" s="24">
        <f t="shared" si="0"/>
        <v>-3.9215267403869269E-4</v>
      </c>
      <c r="E37" s="20"/>
      <c r="F37" s="20">
        <v>8167.36</v>
      </c>
      <c r="G37" s="24">
        <f t="shared" si="1"/>
        <v>-3.2071656960552142E-2</v>
      </c>
      <c r="H37" s="20"/>
      <c r="I37" s="20">
        <v>2267.8200000000002</v>
      </c>
      <c r="J37" s="24">
        <f t="shared" si="2"/>
        <v>1.9244943820224902E-2</v>
      </c>
      <c r="K37" s="20"/>
      <c r="L37" s="20">
        <v>2427.69</v>
      </c>
      <c r="M37" s="14">
        <f t="shared" si="3"/>
        <v>2.4436867557325881E-2</v>
      </c>
      <c r="N37" s="35"/>
      <c r="P37" t="s">
        <v>78</v>
      </c>
      <c r="Q37" s="29">
        <v>0.5</v>
      </c>
      <c r="R37" s="29">
        <v>0.39999999999999986</v>
      </c>
      <c r="S37" s="29">
        <v>4.9999999999999989E-2</v>
      </c>
      <c r="T37" s="29">
        <f>1-SUM(Q37:S37)</f>
        <v>5.0000000000000044E-2</v>
      </c>
      <c r="W37" t="s">
        <v>78</v>
      </c>
      <c r="X37" s="29">
        <v>0.5</v>
      </c>
      <c r="Y37" s="29">
        <v>0.4</v>
      </c>
      <c r="Z37" s="29">
        <v>5.0000000000000017E-2</v>
      </c>
      <c r="AA37" s="29">
        <f>1-SUM(X37:Z37)</f>
        <v>4.9999999999999933E-2</v>
      </c>
      <c r="AD37" t="s">
        <v>78</v>
      </c>
      <c r="AE37" s="29">
        <v>0.05</v>
      </c>
      <c r="AF37" s="29">
        <v>0.05</v>
      </c>
      <c r="AG37" s="29">
        <v>0.5</v>
      </c>
      <c r="AH37" s="29">
        <f>1-SUM(AE37:AG37)</f>
        <v>0.4</v>
      </c>
      <c r="AK37" t="s">
        <v>78</v>
      </c>
      <c r="AL37" s="29">
        <v>0.05</v>
      </c>
      <c r="AM37" s="29">
        <v>0.05</v>
      </c>
      <c r="AN37" s="29">
        <v>0.5</v>
      </c>
      <c r="AO37" s="29">
        <f>1-SUM(AL37:AN37)</f>
        <v>0.4</v>
      </c>
    </row>
    <row r="38" spans="1:41" x14ac:dyDescent="0.2">
      <c r="A38" s="2">
        <v>43830</v>
      </c>
      <c r="B38" s="2"/>
      <c r="C38" s="21">
        <v>6553.57</v>
      </c>
      <c r="D38" s="24">
        <f t="shared" si="0"/>
        <v>3.0182848232194415E-2</v>
      </c>
      <c r="E38" s="20"/>
      <c r="F38" s="20">
        <v>8437.98</v>
      </c>
      <c r="G38" s="24">
        <f t="shared" si="1"/>
        <v>2.8835004371156936E-2</v>
      </c>
      <c r="H38" s="20"/>
      <c r="I38" s="20">
        <v>2225</v>
      </c>
      <c r="J38" s="24">
        <f t="shared" si="2"/>
        <v>-6.9614425905561994E-4</v>
      </c>
      <c r="K38" s="20"/>
      <c r="L38" s="20">
        <v>2369.7800000000002</v>
      </c>
      <c r="M38" s="14">
        <f t="shared" si="3"/>
        <v>-5.6143943335738022E-3</v>
      </c>
      <c r="N38" s="35"/>
      <c r="P38" t="s">
        <v>79</v>
      </c>
      <c r="Q38" s="6">
        <v>0.05</v>
      </c>
      <c r="R38" s="6">
        <v>0.05</v>
      </c>
      <c r="S38" s="6">
        <v>0.05</v>
      </c>
      <c r="T38" s="6">
        <v>0.05</v>
      </c>
      <c r="W38" t="s">
        <v>79</v>
      </c>
      <c r="X38" s="6">
        <v>0.05</v>
      </c>
      <c r="Y38" s="6">
        <v>0.05</v>
      </c>
      <c r="Z38" s="6">
        <v>0.05</v>
      </c>
      <c r="AA38" s="6">
        <v>0.05</v>
      </c>
      <c r="AD38" t="s">
        <v>79</v>
      </c>
      <c r="AE38" s="6">
        <v>0.05</v>
      </c>
      <c r="AF38" s="6">
        <v>0.05</v>
      </c>
      <c r="AG38" s="6">
        <v>0.05</v>
      </c>
      <c r="AH38" s="6">
        <v>0.05</v>
      </c>
      <c r="AK38" t="s">
        <v>79</v>
      </c>
      <c r="AL38" s="6">
        <v>0.05</v>
      </c>
      <c r="AM38" s="6">
        <v>0.05</v>
      </c>
      <c r="AN38" s="6">
        <v>0.05</v>
      </c>
      <c r="AO38" s="6">
        <v>0.05</v>
      </c>
    </row>
    <row r="39" spans="1:41" x14ac:dyDescent="0.2">
      <c r="A39" s="2">
        <v>43798</v>
      </c>
      <c r="B39" s="2"/>
      <c r="C39" s="21">
        <v>6361.56</v>
      </c>
      <c r="D39" s="24">
        <f t="shared" si="0"/>
        <v>3.6299039052051674E-2</v>
      </c>
      <c r="E39" s="20"/>
      <c r="F39" s="20">
        <v>8201.49</v>
      </c>
      <c r="G39" s="24">
        <f t="shared" si="1"/>
        <v>4.1164216355241701E-2</v>
      </c>
      <c r="H39" s="20"/>
      <c r="I39" s="20">
        <v>2226.5500000000002</v>
      </c>
      <c r="J39" s="24">
        <f t="shared" si="2"/>
        <v>-5.1174086160998833E-4</v>
      </c>
      <c r="K39" s="20"/>
      <c r="L39" s="20">
        <v>2383.16</v>
      </c>
      <c r="M39" s="14">
        <f t="shared" si="3"/>
        <v>-3.0079277093313372E-3</v>
      </c>
      <c r="N39" s="35"/>
      <c r="P39" t="s">
        <v>80</v>
      </c>
      <c r="Q39" s="6">
        <v>0.5</v>
      </c>
      <c r="R39" s="6">
        <v>0.5</v>
      </c>
      <c r="S39" s="6">
        <v>0.5</v>
      </c>
      <c r="T39" s="6">
        <v>0.5</v>
      </c>
      <c r="W39" t="s">
        <v>80</v>
      </c>
      <c r="X39" s="6">
        <v>0.5</v>
      </c>
      <c r="Y39" s="6">
        <v>0.5</v>
      </c>
      <c r="Z39" s="6">
        <v>0.5</v>
      </c>
      <c r="AA39" s="6">
        <v>0.5</v>
      </c>
      <c r="AD39" t="s">
        <v>80</v>
      </c>
      <c r="AE39" s="6">
        <v>0.5</v>
      </c>
      <c r="AF39" s="6">
        <v>0.5</v>
      </c>
      <c r="AG39" s="6">
        <v>0.5</v>
      </c>
      <c r="AH39" s="6">
        <v>0.5</v>
      </c>
      <c r="AK39" t="s">
        <v>80</v>
      </c>
      <c r="AL39" s="6">
        <v>0.5</v>
      </c>
      <c r="AM39" s="6">
        <v>0.5</v>
      </c>
      <c r="AN39" s="6">
        <v>0.5</v>
      </c>
      <c r="AO39" s="6">
        <v>0.5</v>
      </c>
    </row>
    <row r="40" spans="1:41" x14ac:dyDescent="0.2">
      <c r="A40" s="2">
        <v>43769</v>
      </c>
      <c r="B40" s="2"/>
      <c r="C40" s="21">
        <v>6138.73</v>
      </c>
      <c r="D40" s="24">
        <f t="shared" si="0"/>
        <v>2.1658991543773043E-2</v>
      </c>
      <c r="E40" s="20"/>
      <c r="F40" s="20">
        <v>7877.23</v>
      </c>
      <c r="G40" s="24">
        <f t="shared" si="1"/>
        <v>2.6337150443838331E-2</v>
      </c>
      <c r="H40" s="20"/>
      <c r="I40" s="20">
        <v>2227.69</v>
      </c>
      <c r="J40" s="24">
        <f t="shared" si="2"/>
        <v>3.0121566861773807E-3</v>
      </c>
      <c r="K40" s="20"/>
      <c r="L40" s="20">
        <v>2390.35</v>
      </c>
      <c r="M40" s="14">
        <f t="shared" si="3"/>
        <v>6.8237382363789401E-4</v>
      </c>
      <c r="N40" s="35"/>
    </row>
    <row r="41" spans="1:41" x14ac:dyDescent="0.2">
      <c r="A41" s="2">
        <v>43738</v>
      </c>
      <c r="B41" s="2"/>
      <c r="C41" s="21">
        <v>6008.59</v>
      </c>
      <c r="D41" s="24">
        <f t="shared" si="0"/>
        <v>1.8710697955149458E-2</v>
      </c>
      <c r="E41" s="20"/>
      <c r="F41" s="20">
        <v>7675.09</v>
      </c>
      <c r="G41" s="24">
        <f t="shared" si="1"/>
        <v>2.0805569077468666E-2</v>
      </c>
      <c r="H41" s="20"/>
      <c r="I41" s="20">
        <v>2221</v>
      </c>
      <c r="J41" s="24">
        <f t="shared" si="2"/>
        <v>-5.3249376368741386E-3</v>
      </c>
      <c r="K41" s="20"/>
      <c r="L41" s="20">
        <v>2388.7199999999998</v>
      </c>
      <c r="M41" s="14">
        <f t="shared" si="3"/>
        <v>-8.4595907185256447E-3</v>
      </c>
      <c r="N41" s="35"/>
      <c r="P41" s="59" t="s">
        <v>73</v>
      </c>
      <c r="Q41" s="59"/>
      <c r="R41" s="59"/>
      <c r="S41" s="59"/>
      <c r="T41" s="59"/>
      <c r="W41" s="59" t="s">
        <v>73</v>
      </c>
      <c r="X41" s="59"/>
      <c r="Y41" s="59"/>
      <c r="Z41" s="59"/>
      <c r="AA41" s="59"/>
      <c r="AD41" s="59" t="s">
        <v>73</v>
      </c>
      <c r="AE41" s="59"/>
      <c r="AF41" s="59"/>
      <c r="AG41" s="59"/>
      <c r="AH41" s="59"/>
      <c r="AK41" s="59" t="s">
        <v>73</v>
      </c>
      <c r="AL41" s="59"/>
      <c r="AM41" s="59"/>
      <c r="AN41" s="59"/>
      <c r="AO41" s="59"/>
    </row>
    <row r="42" spans="1:41" x14ac:dyDescent="0.2">
      <c r="A42" s="2">
        <v>43707</v>
      </c>
      <c r="B42" s="2"/>
      <c r="C42" s="21">
        <v>5898.23</v>
      </c>
      <c r="D42" s="24">
        <f t="shared" si="0"/>
        <v>-1.5841366088397368E-2</v>
      </c>
      <c r="E42" s="20"/>
      <c r="F42" s="20">
        <v>7518.66</v>
      </c>
      <c r="G42" s="24">
        <f t="shared" si="1"/>
        <v>-4.9373131912870627E-2</v>
      </c>
      <c r="H42" s="20"/>
      <c r="I42" s="20">
        <v>2232.89</v>
      </c>
      <c r="J42" s="24">
        <f t="shared" si="2"/>
        <v>2.5913282395048975E-2</v>
      </c>
      <c r="K42" s="20"/>
      <c r="L42" s="20">
        <v>2409.1</v>
      </c>
      <c r="M42" s="14">
        <f t="shared" si="3"/>
        <v>3.3997313177875466E-2</v>
      </c>
      <c r="N42" s="35"/>
      <c r="Q42" t="s">
        <v>61</v>
      </c>
      <c r="R42" t="s">
        <v>62</v>
      </c>
      <c r="S42" t="s">
        <v>67</v>
      </c>
      <c r="T42" t="s">
        <v>68</v>
      </c>
      <c r="X42" t="s">
        <v>61</v>
      </c>
      <c r="Y42" t="s">
        <v>62</v>
      </c>
      <c r="Z42" t="s">
        <v>67</v>
      </c>
      <c r="AA42" t="s">
        <v>68</v>
      </c>
      <c r="AE42" t="s">
        <v>61</v>
      </c>
      <c r="AF42" t="s">
        <v>62</v>
      </c>
      <c r="AG42" t="s">
        <v>67</v>
      </c>
      <c r="AH42" t="s">
        <v>68</v>
      </c>
      <c r="AL42" t="s">
        <v>61</v>
      </c>
      <c r="AM42" t="s">
        <v>62</v>
      </c>
      <c r="AN42" t="s">
        <v>67</v>
      </c>
      <c r="AO42" t="s">
        <v>68</v>
      </c>
    </row>
    <row r="43" spans="1:41" x14ac:dyDescent="0.2">
      <c r="A43" s="2">
        <v>43677</v>
      </c>
      <c r="B43" s="2"/>
      <c r="C43" s="21">
        <v>5993.17</v>
      </c>
      <c r="D43" s="24">
        <f t="shared" si="0"/>
        <v>1.4373122328946719E-2</v>
      </c>
      <c r="E43" s="20"/>
      <c r="F43" s="20">
        <v>7909.16</v>
      </c>
      <c r="G43" s="24">
        <f t="shared" si="1"/>
        <v>5.7566929344128326E-3</v>
      </c>
      <c r="H43" s="20"/>
      <c r="I43" s="20">
        <v>2176.4899999999998</v>
      </c>
      <c r="J43" s="24">
        <f t="shared" si="2"/>
        <v>2.2010305243331807E-3</v>
      </c>
      <c r="K43" s="20"/>
      <c r="L43" s="20">
        <v>2329.89</v>
      </c>
      <c r="M43" s="14">
        <f t="shared" si="3"/>
        <v>-1.1789217367446092E-3</v>
      </c>
      <c r="N43" s="35"/>
      <c r="Q43" s="31">
        <v>0.5</v>
      </c>
      <c r="R43" s="31">
        <v>0.4</v>
      </c>
      <c r="S43" s="31">
        <v>0.05</v>
      </c>
      <c r="T43" s="31">
        <f>1-SUM(Q43:S43)</f>
        <v>4.9999999999999933E-2</v>
      </c>
      <c r="X43" s="31">
        <v>0.5</v>
      </c>
      <c r="Y43" s="31">
        <v>0.4</v>
      </c>
      <c r="Z43" s="31">
        <v>0.05</v>
      </c>
      <c r="AA43" s="31">
        <f>1-SUM(X43:Z43)</f>
        <v>4.9999999999999933E-2</v>
      </c>
      <c r="AE43" s="31">
        <v>0.4</v>
      </c>
      <c r="AF43" s="31">
        <v>0.5</v>
      </c>
      <c r="AG43" s="31">
        <v>5.0000000000000017E-2</v>
      </c>
      <c r="AH43" s="31">
        <f>1-SUM(AE43:AG43)</f>
        <v>4.9999999999999933E-2</v>
      </c>
      <c r="AL43" s="31">
        <v>0.4</v>
      </c>
      <c r="AM43" s="31">
        <v>0.50000000000000011</v>
      </c>
      <c r="AN43" s="31">
        <v>5.0000000000000017E-2</v>
      </c>
      <c r="AO43" s="31">
        <v>4.9999999999999822E-2</v>
      </c>
    </row>
    <row r="44" spans="1:41" x14ac:dyDescent="0.2">
      <c r="A44" s="2">
        <v>43644</v>
      </c>
      <c r="B44" s="2"/>
      <c r="C44" s="21">
        <v>5908.25</v>
      </c>
      <c r="D44" s="24">
        <f t="shared" si="0"/>
        <v>7.0476711594105623E-2</v>
      </c>
      <c r="E44" s="20"/>
      <c r="F44" s="20">
        <v>7863.89</v>
      </c>
      <c r="G44" s="24">
        <f t="shared" si="1"/>
        <v>7.0677406266763665E-2</v>
      </c>
      <c r="H44" s="20"/>
      <c r="I44" s="20">
        <v>2171.71</v>
      </c>
      <c r="J44" s="24">
        <f t="shared" si="2"/>
        <v>1.2556066356456119E-2</v>
      </c>
      <c r="K44" s="20"/>
      <c r="L44" s="20">
        <v>2332.64</v>
      </c>
      <c r="M44" s="14">
        <f t="shared" si="3"/>
        <v>9.2285327368462067E-3</v>
      </c>
      <c r="N44" s="35"/>
    </row>
    <row r="45" spans="1:41" x14ac:dyDescent="0.2">
      <c r="A45" s="2">
        <v>43616</v>
      </c>
      <c r="B45" s="2"/>
      <c r="C45" s="21">
        <v>5519.27</v>
      </c>
      <c r="D45" s="24">
        <f t="shared" si="0"/>
        <v>-6.3548027506824978E-2</v>
      </c>
      <c r="E45" s="20"/>
      <c r="F45" s="20">
        <v>7344.78</v>
      </c>
      <c r="G45" s="24">
        <f t="shared" si="1"/>
        <v>-7.7773229635693886E-2</v>
      </c>
      <c r="H45" s="20"/>
      <c r="I45" s="20">
        <v>2144.7800000000002</v>
      </c>
      <c r="J45" s="24">
        <f t="shared" si="2"/>
        <v>1.7751984701310342E-2</v>
      </c>
      <c r="K45" s="20"/>
      <c r="L45" s="20">
        <v>2311.31</v>
      </c>
      <c r="M45" s="14">
        <f t="shared" si="3"/>
        <v>2.3500602238911705E-2</v>
      </c>
      <c r="N45" s="35"/>
      <c r="P45" s="59" t="s">
        <v>74</v>
      </c>
      <c r="Q45" s="59"/>
      <c r="R45" s="59"/>
      <c r="S45" s="59"/>
      <c r="T45" s="59"/>
      <c r="W45" s="59" t="s">
        <v>74</v>
      </c>
      <c r="X45" s="59"/>
      <c r="Y45" s="59"/>
      <c r="Z45" s="59"/>
      <c r="AA45" s="59"/>
      <c r="AD45" s="59" t="s">
        <v>74</v>
      </c>
      <c r="AE45" s="59"/>
      <c r="AF45" s="59"/>
      <c r="AG45" s="59"/>
      <c r="AH45" s="59"/>
      <c r="AK45" s="59" t="s">
        <v>74</v>
      </c>
      <c r="AL45" s="59"/>
      <c r="AM45" s="59"/>
      <c r="AN45" s="59"/>
      <c r="AO45" s="59"/>
    </row>
    <row r="46" spans="1:41" x14ac:dyDescent="0.2">
      <c r="A46" s="2">
        <v>43585</v>
      </c>
      <c r="B46" s="2"/>
      <c r="C46" s="21">
        <v>5893.81</v>
      </c>
      <c r="D46" s="24">
        <f t="shared" si="0"/>
        <v>4.0489296420135323E-2</v>
      </c>
      <c r="E46" s="20"/>
      <c r="F46" s="20">
        <v>7964.18</v>
      </c>
      <c r="G46" s="24">
        <f t="shared" si="1"/>
        <v>3.3970700498018758E-2</v>
      </c>
      <c r="H46" s="20"/>
      <c r="I46" s="20">
        <v>2107.37</v>
      </c>
      <c r="J46" s="24">
        <f t="shared" si="2"/>
        <v>2.5630924184683046E-4</v>
      </c>
      <c r="K46" s="20"/>
      <c r="L46" s="20">
        <v>2258.2399999999998</v>
      </c>
      <c r="M46" s="14">
        <f t="shared" si="3"/>
        <v>-2.7732146326816531E-3</v>
      </c>
      <c r="N46" s="35"/>
      <c r="Q46" t="s">
        <v>61</v>
      </c>
      <c r="R46" t="s">
        <v>62</v>
      </c>
      <c r="S46" t="s">
        <v>67</v>
      </c>
      <c r="T46" t="s">
        <v>68</v>
      </c>
      <c r="X46" t="s">
        <v>61</v>
      </c>
      <c r="Y46" t="s">
        <v>62</v>
      </c>
      <c r="Z46" t="s">
        <v>67</v>
      </c>
      <c r="AA46" t="s">
        <v>68</v>
      </c>
      <c r="AE46" t="s">
        <v>61</v>
      </c>
      <c r="AF46" t="s">
        <v>62</v>
      </c>
      <c r="AG46" t="s">
        <v>67</v>
      </c>
      <c r="AH46" t="s">
        <v>68</v>
      </c>
      <c r="AL46" t="s">
        <v>61</v>
      </c>
      <c r="AM46" t="s">
        <v>62</v>
      </c>
      <c r="AN46" t="s">
        <v>67</v>
      </c>
      <c r="AO46" t="s">
        <v>68</v>
      </c>
    </row>
    <row r="47" spans="1:41" x14ac:dyDescent="0.2">
      <c r="A47" s="2">
        <v>43553</v>
      </c>
      <c r="B47" s="2"/>
      <c r="C47" s="21">
        <v>5664.46</v>
      </c>
      <c r="D47" s="24">
        <f t="shared" si="0"/>
        <v>1.9431331650016537E-2</v>
      </c>
      <c r="E47" s="20"/>
      <c r="F47" s="20">
        <v>7702.52</v>
      </c>
      <c r="G47" s="24">
        <f t="shared" si="1"/>
        <v>-2.0928745660764858E-2</v>
      </c>
      <c r="H47" s="20"/>
      <c r="I47" s="20">
        <v>2106.83</v>
      </c>
      <c r="J47" s="24">
        <f t="shared" si="2"/>
        <v>1.9200441189276107E-2</v>
      </c>
      <c r="K47" s="20"/>
      <c r="L47" s="20">
        <v>2264.52</v>
      </c>
      <c r="M47" s="14">
        <f t="shared" si="3"/>
        <v>1.9090049952747545E-2</v>
      </c>
      <c r="N47" s="35"/>
      <c r="Q47" s="31">
        <v>4.9999999999999989E-2</v>
      </c>
      <c r="R47" s="31">
        <v>4.9999999999999989E-2</v>
      </c>
      <c r="S47" s="31">
        <v>0.4</v>
      </c>
      <c r="T47" s="31">
        <f>1-SUM(Q47:S47)</f>
        <v>0.5</v>
      </c>
      <c r="X47" s="31">
        <v>5.0000000000000017E-2</v>
      </c>
      <c r="Y47" s="31">
        <v>4.9999999999999989E-2</v>
      </c>
      <c r="Z47" s="31">
        <v>0.42229019457494965</v>
      </c>
      <c r="AA47" s="31">
        <f>1-SUM(X47:Z47)</f>
        <v>0.47770980542505037</v>
      </c>
      <c r="AE47" s="31">
        <v>0.05</v>
      </c>
      <c r="AF47" s="31">
        <v>0.05</v>
      </c>
      <c r="AG47" s="31">
        <v>0.5</v>
      </c>
      <c r="AH47" s="31">
        <f>1-SUM(AE47:AG47)</f>
        <v>0.4</v>
      </c>
      <c r="AL47" s="31">
        <v>0.05</v>
      </c>
      <c r="AM47" s="31">
        <v>0.05</v>
      </c>
      <c r="AN47" s="31">
        <v>0.5</v>
      </c>
      <c r="AO47" s="31">
        <f>1-SUM(AL47:AN47)</f>
        <v>0.4</v>
      </c>
    </row>
    <row r="48" spans="1:41" x14ac:dyDescent="0.2">
      <c r="A48" s="2">
        <v>43524</v>
      </c>
      <c r="B48" s="2"/>
      <c r="C48" s="21">
        <v>5556.49</v>
      </c>
      <c r="D48" s="24">
        <f t="shared" si="0"/>
        <v>3.2108447274422636E-2</v>
      </c>
      <c r="E48" s="20"/>
      <c r="F48" s="20">
        <v>7867.17</v>
      </c>
      <c r="G48" s="24">
        <f t="shared" si="1"/>
        <v>5.1987125571145709E-2</v>
      </c>
      <c r="H48" s="20"/>
      <c r="I48" s="20">
        <v>2067.14</v>
      </c>
      <c r="J48" s="24">
        <f t="shared" si="2"/>
        <v>-5.8017540636468024E-4</v>
      </c>
      <c r="K48" s="20"/>
      <c r="L48" s="20">
        <v>2222.1</v>
      </c>
      <c r="M48" s="14">
        <f t="shared" si="3"/>
        <v>-2.7107811896918133E-3</v>
      </c>
      <c r="N48" s="35"/>
    </row>
    <row r="49" spans="1:14" x14ac:dyDescent="0.2">
      <c r="A49" s="2">
        <v>43496</v>
      </c>
      <c r="B49" s="2"/>
      <c r="C49" s="21">
        <v>5383.63</v>
      </c>
      <c r="D49" s="24">
        <f t="shared" si="0"/>
        <v>8.0134905762586639E-2</v>
      </c>
      <c r="E49" s="20"/>
      <c r="F49" s="20">
        <v>7478.39</v>
      </c>
      <c r="G49" s="24">
        <f t="shared" si="1"/>
        <v>0.11249972107138362</v>
      </c>
      <c r="H49" s="20"/>
      <c r="I49" s="20">
        <v>2068.34</v>
      </c>
      <c r="J49" s="24">
        <f t="shared" si="2"/>
        <v>1.0622495846770441E-2</v>
      </c>
      <c r="K49" s="20"/>
      <c r="L49" s="20">
        <v>2228.14</v>
      </c>
      <c r="M49" s="14">
        <f t="shared" si="3"/>
        <v>4.707579925147698E-3</v>
      </c>
      <c r="N49" s="35"/>
    </row>
    <row r="50" spans="1:14" x14ac:dyDescent="0.2">
      <c r="A50" s="2">
        <v>43465</v>
      </c>
      <c r="B50" s="2"/>
      <c r="C50" s="21">
        <v>4984.22</v>
      </c>
      <c r="D50" s="24">
        <f t="shared" si="0"/>
        <v>-9.028985692409619E-2</v>
      </c>
      <c r="E50" s="20"/>
      <c r="F50" s="20">
        <v>6722.15</v>
      </c>
      <c r="G50" s="24">
        <f t="shared" si="1"/>
        <v>-0.11878677921264136</v>
      </c>
      <c r="H50" s="20"/>
      <c r="I50" s="20">
        <v>2046.6</v>
      </c>
      <c r="J50" s="24">
        <f t="shared" si="2"/>
        <v>1.8371083953664158E-2</v>
      </c>
      <c r="K50" s="20"/>
      <c r="L50" s="20">
        <v>2217.6999999999998</v>
      </c>
      <c r="M50" s="14">
        <f t="shared" si="3"/>
        <v>2.1515529781344078E-2</v>
      </c>
      <c r="N50" s="35"/>
    </row>
    <row r="51" spans="1:14" x14ac:dyDescent="0.2">
      <c r="A51" s="2">
        <v>43434</v>
      </c>
      <c r="B51" s="2"/>
      <c r="C51" s="21">
        <v>5478.91</v>
      </c>
      <c r="D51" s="24">
        <f t="shared" si="0"/>
        <v>2.0378099223576251E-2</v>
      </c>
      <c r="E51" s="20"/>
      <c r="F51" s="20">
        <v>7628.29</v>
      </c>
      <c r="G51" s="24">
        <f t="shared" si="1"/>
        <v>1.5895740138741399E-2</v>
      </c>
      <c r="H51" s="20"/>
      <c r="I51" s="20">
        <v>2009.68</v>
      </c>
      <c r="J51" s="24">
        <f t="shared" si="2"/>
        <v>5.9666826846067611E-3</v>
      </c>
      <c r="K51" s="20"/>
      <c r="L51" s="20">
        <v>2170.9899999999998</v>
      </c>
      <c r="M51" s="14">
        <f t="shared" si="3"/>
        <v>8.8759183787274765E-3</v>
      </c>
      <c r="N51" s="35"/>
    </row>
    <row r="52" spans="1:14" x14ac:dyDescent="0.2">
      <c r="A52" s="2">
        <v>43404</v>
      </c>
      <c r="B52" s="2"/>
      <c r="C52" s="21">
        <v>5369.49</v>
      </c>
      <c r="D52" s="24">
        <f t="shared" si="0"/>
        <v>-6.8350042162466096E-2</v>
      </c>
      <c r="E52" s="20"/>
      <c r="F52" s="20">
        <v>7508.93</v>
      </c>
      <c r="G52" s="24">
        <f t="shared" si="1"/>
        <v>-0.10861701988743944</v>
      </c>
      <c r="H52" s="20"/>
      <c r="I52" s="20">
        <v>1997.76</v>
      </c>
      <c r="J52" s="24">
        <f t="shared" si="2"/>
        <v>-7.900996687639994E-3</v>
      </c>
      <c r="K52" s="20"/>
      <c r="L52" s="20">
        <v>2151.89</v>
      </c>
      <c r="M52" s="14">
        <f t="shared" si="3"/>
        <v>-4.7774972019498652E-3</v>
      </c>
      <c r="N52" s="35"/>
    </row>
    <row r="53" spans="1:14" x14ac:dyDescent="0.2">
      <c r="A53" s="2">
        <v>43371</v>
      </c>
      <c r="B53" s="2"/>
      <c r="C53" s="21">
        <v>5763.42</v>
      </c>
      <c r="D53" s="24">
        <f t="shared" si="0"/>
        <v>5.6920499755706011E-3</v>
      </c>
      <c r="E53" s="20"/>
      <c r="F53" s="20">
        <v>8423.91</v>
      </c>
      <c r="G53" s="24">
        <f t="shared" si="1"/>
        <v>-2.4052542310045055E-2</v>
      </c>
      <c r="H53" s="20"/>
      <c r="I53" s="20">
        <v>2013.67</v>
      </c>
      <c r="J53" s="24">
        <f t="shared" si="2"/>
        <v>-6.4389752901239383E-3</v>
      </c>
      <c r="K53" s="20"/>
      <c r="L53" s="20">
        <v>2162.2199999999998</v>
      </c>
      <c r="M53" s="14">
        <f t="shared" si="3"/>
        <v>-9.3374874003482322E-3</v>
      </c>
      <c r="N53" s="35"/>
    </row>
    <row r="54" spans="1:14" x14ac:dyDescent="0.2">
      <c r="A54" s="2">
        <v>43343</v>
      </c>
      <c r="B54" s="2"/>
      <c r="C54" s="21">
        <v>5730.8</v>
      </c>
      <c r="D54" s="24">
        <f t="shared" si="0"/>
        <v>3.2584018623557753E-2</v>
      </c>
      <c r="E54" s="20"/>
      <c r="F54" s="20">
        <v>8631.52</v>
      </c>
      <c r="G54" s="24">
        <f t="shared" si="1"/>
        <v>4.311045960078741E-2</v>
      </c>
      <c r="H54" s="20"/>
      <c r="I54" s="20">
        <v>2026.72</v>
      </c>
      <c r="J54" s="24">
        <f t="shared" si="2"/>
        <v>6.4357222310504891E-3</v>
      </c>
      <c r="K54" s="20"/>
      <c r="L54" s="20">
        <v>2182.6</v>
      </c>
      <c r="M54" s="14">
        <f t="shared" si="3"/>
        <v>7.6499402132008676E-3</v>
      </c>
      <c r="N54" s="35"/>
    </row>
    <row r="55" spans="1:14" x14ac:dyDescent="0.2">
      <c r="A55" s="2">
        <v>43312</v>
      </c>
      <c r="B55" s="2"/>
      <c r="C55" s="21">
        <v>5549.96</v>
      </c>
      <c r="D55" s="24">
        <f t="shared" si="0"/>
        <v>3.7214787238615266E-2</v>
      </c>
      <c r="E55" s="20"/>
      <c r="F55" s="20">
        <v>8274.7900000000009</v>
      </c>
      <c r="G55" s="24">
        <f t="shared" si="1"/>
        <v>1.7428907272065697E-2</v>
      </c>
      <c r="H55" s="20"/>
      <c r="I55" s="20">
        <v>2013.76</v>
      </c>
      <c r="J55" s="24">
        <f t="shared" si="2"/>
        <v>2.3841691170622958E-4</v>
      </c>
      <c r="K55" s="20"/>
      <c r="L55" s="20">
        <v>2166.0300000000002</v>
      </c>
      <c r="M55" s="14">
        <f t="shared" si="3"/>
        <v>-4.1836579882581493E-3</v>
      </c>
      <c r="N55" s="35"/>
    </row>
    <row r="56" spans="1:14" x14ac:dyDescent="0.2">
      <c r="A56" s="2">
        <v>43280</v>
      </c>
      <c r="B56" s="2"/>
      <c r="C56" s="21">
        <v>5350.83</v>
      </c>
      <c r="D56" s="24">
        <f t="shared" si="0"/>
        <v>6.154453658261394E-3</v>
      </c>
      <c r="E56" s="20"/>
      <c r="F56" s="20">
        <v>8133.04</v>
      </c>
      <c r="G56" s="24">
        <f t="shared" si="1"/>
        <v>7.1651653585429464E-3</v>
      </c>
      <c r="H56" s="20"/>
      <c r="I56" s="20">
        <v>2013.28</v>
      </c>
      <c r="J56" s="24">
        <f t="shared" si="2"/>
        <v>-1.2303051950629529E-3</v>
      </c>
      <c r="K56" s="20"/>
      <c r="L56" s="20">
        <v>2175.13</v>
      </c>
      <c r="M56" s="14">
        <f t="shared" si="3"/>
        <v>2.069269961559872E-4</v>
      </c>
      <c r="N56" s="35"/>
    </row>
    <row r="57" spans="1:14" x14ac:dyDescent="0.2">
      <c r="A57" s="2">
        <v>43251</v>
      </c>
      <c r="B57" s="2"/>
      <c r="C57" s="21">
        <v>5318.1</v>
      </c>
      <c r="D57" s="24">
        <f t="shared" si="0"/>
        <v>2.4082233142822096E-2</v>
      </c>
      <c r="E57" s="20"/>
      <c r="F57" s="20">
        <v>8075.18</v>
      </c>
      <c r="G57" s="24">
        <f t="shared" si="1"/>
        <v>6.0700953361723098E-2</v>
      </c>
      <c r="H57" s="20"/>
      <c r="I57" s="20">
        <v>2015.76</v>
      </c>
      <c r="J57" s="24">
        <f t="shared" si="2"/>
        <v>7.1347203069729304E-3</v>
      </c>
      <c r="K57" s="20"/>
      <c r="L57" s="20">
        <v>2174.6799999999998</v>
      </c>
      <c r="M57" s="14">
        <f t="shared" si="3"/>
        <v>8.97774354739167E-3</v>
      </c>
      <c r="N57" s="35"/>
    </row>
    <row r="58" spans="1:14" x14ac:dyDescent="0.2">
      <c r="A58" s="2">
        <v>43220</v>
      </c>
      <c r="B58" s="2"/>
      <c r="C58" s="21">
        <v>5193.04</v>
      </c>
      <c r="D58" s="24">
        <f t="shared" si="0"/>
        <v>3.8370908472336041E-3</v>
      </c>
      <c r="E58" s="20"/>
      <c r="F58" s="20">
        <v>7613.06</v>
      </c>
      <c r="G58" s="24">
        <f t="shared" si="1"/>
        <v>8.6448916970618406E-3</v>
      </c>
      <c r="H58" s="20"/>
      <c r="I58" s="20">
        <v>2001.48</v>
      </c>
      <c r="J58" s="24">
        <f t="shared" si="2"/>
        <v>-7.4387050702213742E-3</v>
      </c>
      <c r="K58" s="20"/>
      <c r="L58" s="20">
        <v>2155.33</v>
      </c>
      <c r="M58" s="14">
        <f t="shared" si="3"/>
        <v>-8.0996626674582073E-3</v>
      </c>
      <c r="N58" s="35"/>
    </row>
    <row r="59" spans="1:14" x14ac:dyDescent="0.2">
      <c r="A59" s="2">
        <v>43189</v>
      </c>
      <c r="B59" s="2"/>
      <c r="C59" s="21">
        <v>5173.1899999999996</v>
      </c>
      <c r="D59" s="24">
        <f t="shared" si="0"/>
        <v>-2.5414037817746205E-2</v>
      </c>
      <c r="E59" s="20"/>
      <c r="F59" s="20">
        <v>7547.81</v>
      </c>
      <c r="G59" s="24">
        <f t="shared" si="1"/>
        <v>1.2934430035577149E-2</v>
      </c>
      <c r="H59" s="20"/>
      <c r="I59" s="20">
        <v>2016.48</v>
      </c>
      <c r="J59" s="24">
        <f t="shared" si="2"/>
        <v>6.4133597520499297E-3</v>
      </c>
      <c r="K59" s="20"/>
      <c r="L59" s="20">
        <v>2172.9299999999998</v>
      </c>
      <c r="M59" s="14">
        <f t="shared" si="3"/>
        <v>9.4303247655191935E-3</v>
      </c>
      <c r="N59" s="35"/>
    </row>
    <row r="60" spans="1:14" x14ac:dyDescent="0.2">
      <c r="A60" s="2">
        <v>43159</v>
      </c>
      <c r="B60" s="2"/>
      <c r="C60" s="21">
        <v>5308.09</v>
      </c>
      <c r="D60" s="24">
        <f t="shared" si="0"/>
        <v>-3.6855790289246793E-2</v>
      </c>
      <c r="E60" s="20"/>
      <c r="F60" s="20">
        <v>7451.43</v>
      </c>
      <c r="G60" s="24">
        <f t="shared" si="1"/>
        <v>-3.872237824755953E-2</v>
      </c>
      <c r="H60" s="20"/>
      <c r="I60" s="20">
        <v>2003.63</v>
      </c>
      <c r="J60" s="24">
        <f t="shared" si="2"/>
        <v>-9.4769626260627904E-3</v>
      </c>
      <c r="K60" s="20"/>
      <c r="L60" s="20">
        <v>2152.63</v>
      </c>
      <c r="M60" s="14">
        <f t="shared" si="3"/>
        <v>-7.5335297399224954E-3</v>
      </c>
      <c r="N60" s="35"/>
    </row>
    <row r="61" spans="1:14" x14ac:dyDescent="0.2">
      <c r="A61" s="2">
        <v>43131</v>
      </c>
      <c r="B61" s="2"/>
      <c r="C61" s="21">
        <v>5511.21</v>
      </c>
      <c r="D61" s="24">
        <f t="shared" si="0"/>
        <v>5.7253738902232287E-2</v>
      </c>
      <c r="E61" s="20"/>
      <c r="F61" s="20">
        <v>7751.59</v>
      </c>
      <c r="G61" s="24">
        <f t="shared" si="1"/>
        <v>2.6133910144992667E-2</v>
      </c>
      <c r="H61" s="20"/>
      <c r="I61" s="20">
        <v>2022.8</v>
      </c>
      <c r="J61" s="24">
        <f t="shared" si="2"/>
        <v>-1.1517956185831513E-2</v>
      </c>
      <c r="K61" s="20"/>
      <c r="L61" s="20">
        <v>2168.9699999999998</v>
      </c>
      <c r="M61" s="14">
        <f t="shared" si="3"/>
        <v>-1.3584435429590314E-2</v>
      </c>
      <c r="N61" s="35"/>
    </row>
    <row r="62" spans="1:14" x14ac:dyDescent="0.2">
      <c r="A62" s="2">
        <v>43098</v>
      </c>
      <c r="B62" s="2"/>
      <c r="C62" s="21">
        <v>5212.76</v>
      </c>
      <c r="D62" s="24">
        <f t="shared" si="0"/>
        <v>1.1118352652732089E-2</v>
      </c>
      <c r="E62" s="20"/>
      <c r="F62" s="20">
        <v>7554.17</v>
      </c>
      <c r="G62" s="24">
        <f t="shared" si="1"/>
        <v>-4.0357136264993487E-3</v>
      </c>
      <c r="H62" s="20"/>
      <c r="I62" s="20">
        <v>2046.37</v>
      </c>
      <c r="J62" s="24">
        <f t="shared" si="2"/>
        <v>4.5900383894119656E-3</v>
      </c>
      <c r="K62" s="20"/>
      <c r="L62" s="20">
        <v>2198.84</v>
      </c>
      <c r="M62" s="14">
        <f t="shared" si="3"/>
        <v>3.088405023562224E-3</v>
      </c>
      <c r="N62" s="35"/>
    </row>
    <row r="63" spans="1:14" x14ac:dyDescent="0.2">
      <c r="A63" s="2">
        <v>43069</v>
      </c>
      <c r="B63" s="2"/>
      <c r="C63" s="21">
        <v>5155.4399999999996</v>
      </c>
      <c r="D63" s="24">
        <f t="shared" si="0"/>
        <v>3.0669548163445581E-2</v>
      </c>
      <c r="E63" s="20"/>
      <c r="F63" s="20">
        <v>7584.78</v>
      </c>
      <c r="G63" s="24">
        <f t="shared" si="1"/>
        <v>2.8820003499581359E-2</v>
      </c>
      <c r="H63" s="20"/>
      <c r="I63" s="20">
        <v>2037.02</v>
      </c>
      <c r="J63" s="24">
        <f t="shared" si="2"/>
        <v>-1.2845404090918722E-3</v>
      </c>
      <c r="K63" s="20"/>
      <c r="L63" s="20">
        <v>2192.0700000000002</v>
      </c>
      <c r="M63" s="14">
        <f t="shared" si="3"/>
        <v>-1.3757978032791218E-3</v>
      </c>
      <c r="N63" s="35"/>
    </row>
    <row r="64" spans="1:14" x14ac:dyDescent="0.2">
      <c r="A64" s="2">
        <v>43039</v>
      </c>
      <c r="B64" s="2"/>
      <c r="C64" s="21">
        <v>5002.03</v>
      </c>
      <c r="D64" s="24">
        <f t="shared" si="0"/>
        <v>2.3334840434781512E-2</v>
      </c>
      <c r="E64" s="20"/>
      <c r="F64" s="20">
        <v>7372.31</v>
      </c>
      <c r="G64" s="24">
        <f t="shared" si="1"/>
        <v>8.5239398084815399E-3</v>
      </c>
      <c r="H64" s="20"/>
      <c r="I64" s="20">
        <v>2039.64</v>
      </c>
      <c r="J64" s="24">
        <f t="shared" si="2"/>
        <v>5.7886836141007869E-4</v>
      </c>
      <c r="K64" s="20"/>
      <c r="L64" s="20">
        <v>2195.09</v>
      </c>
      <c r="M64" s="14">
        <f t="shared" si="3"/>
        <v>-1.2103287453076872E-3</v>
      </c>
      <c r="N64" s="35"/>
    </row>
    <row r="65" spans="1:14" x14ac:dyDescent="0.2">
      <c r="A65" s="2">
        <v>43007</v>
      </c>
      <c r="B65" s="2"/>
      <c r="C65" s="21">
        <v>4887.97</v>
      </c>
      <c r="D65" s="24">
        <f t="shared" si="0"/>
        <v>2.0627748382813005E-2</v>
      </c>
      <c r="E65" s="20"/>
      <c r="F65" s="20">
        <v>7310</v>
      </c>
      <c r="G65" s="24">
        <f t="shared" si="1"/>
        <v>6.2408892260692683E-2</v>
      </c>
      <c r="H65" s="20"/>
      <c r="I65" s="20">
        <v>2038.46</v>
      </c>
      <c r="J65" s="24">
        <f t="shared" si="2"/>
        <v>-4.7602540755098399E-3</v>
      </c>
      <c r="K65" s="20"/>
      <c r="L65" s="20">
        <v>2197.75</v>
      </c>
      <c r="M65" s="14">
        <f t="shared" si="3"/>
        <v>-8.5711063493854045E-3</v>
      </c>
      <c r="N65" s="35"/>
    </row>
    <row r="66" spans="1:14" x14ac:dyDescent="0.2">
      <c r="A66" s="2">
        <v>42978</v>
      </c>
      <c r="B66" s="2"/>
      <c r="C66" s="21">
        <v>4789.18</v>
      </c>
      <c r="D66" s="24">
        <f t="shared" si="0"/>
        <v>3.0620622633290573E-3</v>
      </c>
      <c r="E66" s="20"/>
      <c r="F66" s="20">
        <v>6880.59</v>
      </c>
      <c r="G66" s="24">
        <f t="shared" si="1"/>
        <v>-1.2721598450335381E-2</v>
      </c>
      <c r="H66" s="20"/>
      <c r="I66" s="20">
        <v>2048.21</v>
      </c>
      <c r="J66" s="24">
        <f t="shared" si="2"/>
        <v>8.9654730764874291E-3</v>
      </c>
      <c r="K66" s="20"/>
      <c r="L66" s="20">
        <v>2216.75</v>
      </c>
      <c r="M66" s="14">
        <f t="shared" si="3"/>
        <v>1.0825304034181249E-2</v>
      </c>
      <c r="N66" s="35"/>
    </row>
    <row r="67" spans="1:14" x14ac:dyDescent="0.2">
      <c r="A67" s="2">
        <v>42947</v>
      </c>
      <c r="B67" s="2"/>
      <c r="C67" s="21">
        <v>4774.5600000000004</v>
      </c>
      <c r="D67" s="24">
        <f t="shared" si="0"/>
        <v>2.0562761309518951E-2</v>
      </c>
      <c r="E67" s="20"/>
      <c r="F67" s="20">
        <v>6969.25</v>
      </c>
      <c r="G67" s="24">
        <f t="shared" si="1"/>
        <v>7.4285978611883241E-3</v>
      </c>
      <c r="H67" s="20"/>
      <c r="I67" s="20">
        <v>2030.01</v>
      </c>
      <c r="J67" s="24">
        <f t="shared" si="2"/>
        <v>4.3041393947489404E-3</v>
      </c>
      <c r="K67" s="20"/>
      <c r="L67" s="20">
        <v>2193.0100000000002</v>
      </c>
      <c r="M67" s="14">
        <f t="shared" si="3"/>
        <v>1.6671538714509992E-3</v>
      </c>
      <c r="N67" s="35"/>
    </row>
    <row r="68" spans="1:14" x14ac:dyDescent="0.2">
      <c r="A68" s="2">
        <v>42916</v>
      </c>
      <c r="B68" s="2"/>
      <c r="C68" s="21">
        <v>4678.3599999999997</v>
      </c>
      <c r="D68" s="24">
        <f t="shared" si="0"/>
        <v>6.2417461403123653E-3</v>
      </c>
      <c r="E68" s="20"/>
      <c r="F68" s="20">
        <v>6917.86</v>
      </c>
      <c r="G68" s="24">
        <f t="shared" si="1"/>
        <v>3.4568569595511134E-2</v>
      </c>
      <c r="H68" s="20"/>
      <c r="I68" s="20">
        <v>2021.31</v>
      </c>
      <c r="J68" s="24">
        <f t="shared" si="2"/>
        <v>-1.0032915871776016E-3</v>
      </c>
      <c r="K68" s="20"/>
      <c r="L68" s="20">
        <v>2189.36</v>
      </c>
      <c r="M68" s="14">
        <f t="shared" si="3"/>
        <v>-1.6188534869190363E-3</v>
      </c>
      <c r="N68" s="35"/>
    </row>
    <row r="69" spans="1:14" x14ac:dyDescent="0.2">
      <c r="A69" s="2">
        <v>42886</v>
      </c>
      <c r="B69" s="2"/>
      <c r="C69" s="21">
        <v>4649.34</v>
      </c>
      <c r="D69" s="24">
        <f t="shared" si="0"/>
        <v>1.40725262932897E-2</v>
      </c>
      <c r="E69" s="20"/>
      <c r="F69" s="20">
        <v>6686.71</v>
      </c>
      <c r="G69" s="24">
        <f t="shared" si="1"/>
        <v>-2.0344088479057332E-2</v>
      </c>
      <c r="H69" s="20"/>
      <c r="I69" s="20">
        <v>2023.34</v>
      </c>
      <c r="J69" s="24">
        <f t="shared" si="2"/>
        <v>7.6946446269465785E-3</v>
      </c>
      <c r="K69" s="20"/>
      <c r="L69" s="20">
        <v>2192.91</v>
      </c>
      <c r="M69" s="14">
        <f t="shared" si="3"/>
        <v>6.5268578824888568E-3</v>
      </c>
      <c r="N69" s="35"/>
    </row>
    <row r="70" spans="1:14" x14ac:dyDescent="0.2">
      <c r="A70" s="2">
        <v>42853</v>
      </c>
      <c r="B70" s="2"/>
      <c r="C70" s="21">
        <v>4584.82</v>
      </c>
      <c r="D70" s="24">
        <f t="shared" si="0"/>
        <v>1.0270569233243876E-2</v>
      </c>
      <c r="E70" s="20"/>
      <c r="F70" s="20">
        <v>6825.57</v>
      </c>
      <c r="G70" s="24">
        <f t="shared" si="1"/>
        <v>1.0966403170836747E-2</v>
      </c>
      <c r="H70" s="20"/>
      <c r="I70" s="20">
        <v>2007.89</v>
      </c>
      <c r="J70" s="24">
        <f t="shared" si="2"/>
        <v>7.7189073078680615E-3</v>
      </c>
      <c r="K70" s="20"/>
      <c r="L70" s="20">
        <v>2178.69</v>
      </c>
      <c r="M70" s="14">
        <f t="shared" si="3"/>
        <v>6.9465627686420284E-3</v>
      </c>
      <c r="N70" s="35"/>
    </row>
    <row r="71" spans="1:14" x14ac:dyDescent="0.2">
      <c r="A71" s="2">
        <v>42825</v>
      </c>
      <c r="B71" s="2"/>
      <c r="C71" s="21">
        <v>4538.21</v>
      </c>
      <c r="D71" s="24">
        <f t="shared" si="0"/>
        <v>1.1648095161407301E-3</v>
      </c>
      <c r="E71" s="20"/>
      <c r="F71" s="20">
        <v>6751.53</v>
      </c>
      <c r="G71" s="24">
        <f t="shared" si="1"/>
        <v>1.3095644178147126E-3</v>
      </c>
      <c r="H71" s="20"/>
      <c r="I71" s="20">
        <v>1992.51</v>
      </c>
      <c r="J71" s="24">
        <f t="shared" si="2"/>
        <v>-5.2669596099441662E-4</v>
      </c>
      <c r="K71" s="20"/>
      <c r="L71" s="20">
        <v>2163.66</v>
      </c>
      <c r="M71" s="14">
        <f t="shared" si="3"/>
        <v>-4.5734876307956807E-4</v>
      </c>
      <c r="N71" s="35"/>
    </row>
    <row r="72" spans="1:14" x14ac:dyDescent="0.2">
      <c r="A72" s="2">
        <v>42794</v>
      </c>
      <c r="B72" s="2"/>
      <c r="C72" s="21">
        <v>4532.93</v>
      </c>
      <c r="D72" s="24">
        <f t="shared" si="0"/>
        <v>3.970815241948622E-2</v>
      </c>
      <c r="E72" s="20"/>
      <c r="F72" s="20">
        <v>6742.7</v>
      </c>
      <c r="G72" s="24">
        <f t="shared" si="1"/>
        <v>1.9298447174922684E-2</v>
      </c>
      <c r="H72" s="20"/>
      <c r="I72" s="20">
        <v>1993.56</v>
      </c>
      <c r="J72" s="24">
        <f t="shared" si="2"/>
        <v>6.7213735639439776E-3</v>
      </c>
      <c r="K72" s="20"/>
      <c r="L72" s="20">
        <v>2164.65</v>
      </c>
      <c r="M72" s="14">
        <f t="shared" si="3"/>
        <v>4.9349588211808904E-3</v>
      </c>
      <c r="N72" s="35"/>
    </row>
    <row r="73" spans="1:14" x14ac:dyDescent="0.2">
      <c r="A73" s="2">
        <v>42766</v>
      </c>
      <c r="B73" s="2"/>
      <c r="C73" s="21">
        <v>4359.8100000000004</v>
      </c>
      <c r="D73" s="24">
        <f t="shared" si="0"/>
        <v>1.8966218395479073E-2</v>
      </c>
      <c r="E73" s="20"/>
      <c r="F73" s="20">
        <v>6615.04</v>
      </c>
      <c r="G73" s="24">
        <f t="shared" si="1"/>
        <v>3.9444229441270018E-3</v>
      </c>
      <c r="H73" s="20"/>
      <c r="I73" s="20">
        <v>1980.25</v>
      </c>
      <c r="J73" s="24">
        <f t="shared" si="2"/>
        <v>1.9631951507055323E-3</v>
      </c>
      <c r="K73" s="20"/>
      <c r="L73" s="20">
        <v>2154.02</v>
      </c>
      <c r="M73" s="14">
        <f t="shared" si="3"/>
        <v>2.2613486199258848E-3</v>
      </c>
      <c r="N73" s="35"/>
    </row>
    <row r="74" spans="1:14" x14ac:dyDescent="0.2">
      <c r="A74" s="2">
        <v>42734</v>
      </c>
      <c r="B74" s="2"/>
      <c r="C74" s="21">
        <v>4278.66</v>
      </c>
      <c r="D74" s="24">
        <f t="shared" si="0"/>
        <v>1.9765332850302686E-2</v>
      </c>
      <c r="E74" s="20"/>
      <c r="F74" s="20">
        <v>6589.05</v>
      </c>
      <c r="G74" s="24">
        <f t="shared" si="1"/>
        <v>2.8019521145307147E-2</v>
      </c>
      <c r="H74" s="20"/>
      <c r="I74" s="20">
        <v>1976.37</v>
      </c>
      <c r="J74" s="24">
        <f t="shared" si="2"/>
        <v>1.4086005705338245E-3</v>
      </c>
      <c r="K74" s="20"/>
      <c r="L74" s="20">
        <v>2149.16</v>
      </c>
      <c r="M74" s="14">
        <f t="shared" si="3"/>
        <v>-1.0551121812003572E-3</v>
      </c>
      <c r="N74" s="35"/>
    </row>
    <row r="75" spans="1:14" x14ac:dyDescent="0.2">
      <c r="A75" s="2">
        <v>42704</v>
      </c>
      <c r="B75" s="2"/>
      <c r="C75" s="21">
        <v>4195.7299999999996</v>
      </c>
      <c r="D75" s="24">
        <f t="shared" si="0"/>
        <v>3.7035114647209877E-2</v>
      </c>
      <c r="E75" s="20"/>
      <c r="F75" s="20">
        <v>6409.46</v>
      </c>
      <c r="G75" s="24">
        <f t="shared" si="1"/>
        <v>0.11151266901705204</v>
      </c>
      <c r="H75" s="20"/>
      <c r="I75" s="20">
        <v>1973.59</v>
      </c>
      <c r="J75" s="24">
        <f t="shared" si="2"/>
        <v>-2.3651924408825686E-2</v>
      </c>
      <c r="K75" s="20"/>
      <c r="L75" s="20">
        <v>2151.4299999999998</v>
      </c>
      <c r="M75" s="14">
        <f t="shared" si="3"/>
        <v>-2.6682832596667594E-2</v>
      </c>
      <c r="N75" s="35"/>
    </row>
    <row r="76" spans="1:14" x14ac:dyDescent="0.2">
      <c r="A76" s="2">
        <v>42674</v>
      </c>
      <c r="B76" s="2"/>
      <c r="C76" s="21">
        <v>4045.89</v>
      </c>
      <c r="D76" s="24">
        <f t="shared" si="0"/>
        <v>-1.8240452699062937E-2</v>
      </c>
      <c r="E76" s="20"/>
      <c r="F76" s="20">
        <v>5766.43</v>
      </c>
      <c r="G76" s="24">
        <f t="shared" si="1"/>
        <v>-4.7540157740430189E-2</v>
      </c>
      <c r="H76" s="20"/>
      <c r="I76" s="20">
        <v>2021.4</v>
      </c>
      <c r="J76" s="24">
        <f t="shared" si="2"/>
        <v>-7.6485777965419333E-3</v>
      </c>
      <c r="K76" s="20"/>
      <c r="L76" s="20">
        <v>2210.41</v>
      </c>
      <c r="M76" s="14">
        <f t="shared" si="3"/>
        <v>-1.1006662162585612E-2</v>
      </c>
      <c r="N76" s="35"/>
    </row>
    <row r="77" spans="1:14" x14ac:dyDescent="0.2">
      <c r="A77" s="2">
        <v>42643</v>
      </c>
      <c r="B77" s="2"/>
      <c r="C77" s="21">
        <v>4121.0600000000004</v>
      </c>
      <c r="D77" s="24">
        <f t="shared" si="0"/>
        <v>1.8688004970535133E-4</v>
      </c>
      <c r="E77" s="20"/>
      <c r="F77" s="20">
        <v>6054.25</v>
      </c>
      <c r="G77" s="24">
        <f t="shared" si="1"/>
        <v>1.1138092979444014E-2</v>
      </c>
      <c r="H77" s="20"/>
      <c r="I77" s="20">
        <v>2036.98</v>
      </c>
      <c r="J77" s="24">
        <f t="shared" si="2"/>
        <v>-5.8876056089263162E-4</v>
      </c>
      <c r="K77" s="20"/>
      <c r="L77" s="20">
        <v>2235.0100000000002</v>
      </c>
      <c r="M77" s="14">
        <f t="shared" si="3"/>
        <v>-1.3226272023304508E-3</v>
      </c>
      <c r="N77" s="35"/>
    </row>
    <row r="78" spans="1:14" x14ac:dyDescent="0.2">
      <c r="A78" s="2">
        <v>42613</v>
      </c>
      <c r="B78" s="2"/>
      <c r="C78" s="21">
        <v>4120.29</v>
      </c>
      <c r="D78" s="24">
        <f t="shared" si="0"/>
        <v>1.4047845308431395E-3</v>
      </c>
      <c r="E78" s="20"/>
      <c r="F78" s="20">
        <v>5987.56</v>
      </c>
      <c r="G78" s="24">
        <f t="shared" si="1"/>
        <v>1.7683291634939646E-2</v>
      </c>
      <c r="H78" s="20"/>
      <c r="I78" s="20">
        <v>2038.18</v>
      </c>
      <c r="J78" s="24">
        <f t="shared" si="2"/>
        <v>-1.1418713948962989E-3</v>
      </c>
      <c r="K78" s="20"/>
      <c r="L78" s="20">
        <v>2237.9699999999998</v>
      </c>
      <c r="M78" s="14">
        <f t="shared" si="3"/>
        <v>-5.4969471279896487E-3</v>
      </c>
      <c r="N78" s="35"/>
    </row>
    <row r="79" spans="1:14" x14ac:dyDescent="0.2">
      <c r="A79" s="2">
        <v>42580</v>
      </c>
      <c r="B79" s="2"/>
      <c r="C79" s="21">
        <v>4114.51</v>
      </c>
      <c r="D79" s="24">
        <f t="shared" si="0"/>
        <v>3.6868008497534133E-2</v>
      </c>
      <c r="E79" s="20"/>
      <c r="F79" s="20">
        <v>5883.52</v>
      </c>
      <c r="G79" s="24">
        <f t="shared" si="1"/>
        <v>5.970799817003547E-2</v>
      </c>
      <c r="H79" s="20"/>
      <c r="I79" s="20">
        <v>2040.51</v>
      </c>
      <c r="J79" s="24">
        <f t="shared" si="2"/>
        <v>6.322465465628424E-3</v>
      </c>
      <c r="K79" s="20"/>
      <c r="L79" s="20">
        <v>2250.34</v>
      </c>
      <c r="M79" s="14">
        <f t="shared" si="3"/>
        <v>4.0512925764970564E-3</v>
      </c>
      <c r="N79" s="35"/>
    </row>
    <row r="80" spans="1:14" x14ac:dyDescent="0.2">
      <c r="A80" s="2">
        <v>42551</v>
      </c>
      <c r="B80" s="2"/>
      <c r="C80" s="21">
        <v>3968.21</v>
      </c>
      <c r="D80" s="24">
        <f t="shared" si="0"/>
        <v>2.5922510390481435E-3</v>
      </c>
      <c r="E80" s="20"/>
      <c r="F80" s="20">
        <v>5552.02</v>
      </c>
      <c r="G80" s="24">
        <f t="shared" si="1"/>
        <v>-6.3180290629327729E-4</v>
      </c>
      <c r="H80" s="20"/>
      <c r="I80" s="20">
        <v>2027.69</v>
      </c>
      <c r="J80" s="24">
        <f t="shared" si="2"/>
        <v>1.7967769466338712E-2</v>
      </c>
      <c r="K80" s="20"/>
      <c r="L80" s="20">
        <v>2241.2600000000002</v>
      </c>
      <c r="M80" s="14">
        <f t="shared" si="3"/>
        <v>2.2076293408122005E-2</v>
      </c>
      <c r="N80" s="35"/>
    </row>
    <row r="81" spans="1:14" x14ac:dyDescent="0.2">
      <c r="A81" s="2">
        <v>42521</v>
      </c>
      <c r="B81" s="2"/>
      <c r="C81" s="21">
        <v>3957.95</v>
      </c>
      <c r="D81" s="24">
        <f t="shared" si="0"/>
        <v>1.7957218508640294E-2</v>
      </c>
      <c r="E81" s="20"/>
      <c r="F81" s="20">
        <v>5555.53</v>
      </c>
      <c r="G81" s="24">
        <f t="shared" si="1"/>
        <v>2.25246864157993E-2</v>
      </c>
      <c r="H81" s="20"/>
      <c r="I81" s="20">
        <v>1991.9</v>
      </c>
      <c r="J81" s="24">
        <f t="shared" si="2"/>
        <v>2.5610252135432887E-4</v>
      </c>
      <c r="K81" s="20"/>
      <c r="L81" s="20">
        <v>2192.85</v>
      </c>
      <c r="M81" s="14">
        <f t="shared" si="3"/>
        <v>-2.736090400423663E-5</v>
      </c>
      <c r="N81" s="35"/>
    </row>
    <row r="82" spans="1:14" x14ac:dyDescent="0.2">
      <c r="A82" s="2">
        <v>42489</v>
      </c>
      <c r="B82" s="2"/>
      <c r="C82" s="21">
        <v>3888.13</v>
      </c>
      <c r="D82" s="24">
        <f t="shared" si="0"/>
        <v>3.8780205054853578E-3</v>
      </c>
      <c r="E82" s="20"/>
      <c r="F82" s="20">
        <v>5433.15</v>
      </c>
      <c r="G82" s="24">
        <f t="shared" si="1"/>
        <v>1.5695834322579705E-2</v>
      </c>
      <c r="H82" s="20"/>
      <c r="I82" s="20">
        <v>1991.39</v>
      </c>
      <c r="J82" s="24">
        <f t="shared" si="2"/>
        <v>3.8411711035049034E-3</v>
      </c>
      <c r="K82" s="20"/>
      <c r="L82" s="20">
        <v>2192.91</v>
      </c>
      <c r="M82" s="14">
        <f t="shared" si="3"/>
        <v>-1.0522863312104613E-3</v>
      </c>
      <c r="N82" s="35"/>
    </row>
    <row r="83" spans="1:14" x14ac:dyDescent="0.2">
      <c r="A83" s="2">
        <v>42460</v>
      </c>
      <c r="B83" s="2"/>
      <c r="C83" s="21">
        <v>3873.11</v>
      </c>
      <c r="D83" s="24">
        <f t="shared" ref="D83:D146" si="8">C83/C84-1</f>
        <v>6.7837311762143582E-2</v>
      </c>
      <c r="E83" s="20"/>
      <c r="F83" s="20">
        <v>5349.19</v>
      </c>
      <c r="G83" s="24">
        <f t="shared" ref="G83:G146" si="9">F83/F84-1</f>
        <v>7.9811135648852893E-2</v>
      </c>
      <c r="H83" s="20"/>
      <c r="I83" s="20">
        <v>1983.77</v>
      </c>
      <c r="J83" s="24">
        <f t="shared" ref="J83:J146" si="10">I83/I84-1</f>
        <v>9.1721183879862611E-3</v>
      </c>
      <c r="K83" s="20"/>
      <c r="L83" s="20">
        <v>2195.2199999999998</v>
      </c>
      <c r="M83" s="14">
        <f t="shared" ref="M83:M146" si="11">L83/L84-1</f>
        <v>1.5832097638872611E-3</v>
      </c>
      <c r="N83" s="35"/>
    </row>
    <row r="84" spans="1:14" x14ac:dyDescent="0.2">
      <c r="A84" s="2">
        <v>42429</v>
      </c>
      <c r="B84" s="2"/>
      <c r="C84" s="21">
        <v>3627.06</v>
      </c>
      <c r="D84" s="24">
        <f t="shared" si="8"/>
        <v>-1.3491338010330756E-3</v>
      </c>
      <c r="E84" s="20"/>
      <c r="F84" s="20">
        <v>4953.82</v>
      </c>
      <c r="G84" s="24">
        <f t="shared" si="9"/>
        <v>-4.4408200176038193E-5</v>
      </c>
      <c r="H84" s="20"/>
      <c r="I84" s="20">
        <v>1965.74</v>
      </c>
      <c r="J84" s="24">
        <f t="shared" si="10"/>
        <v>7.0956867446423377E-3</v>
      </c>
      <c r="K84" s="20"/>
      <c r="L84" s="20">
        <v>2191.75</v>
      </c>
      <c r="M84" s="14">
        <f t="shared" si="11"/>
        <v>8.9118436376525167E-3</v>
      </c>
      <c r="N84" s="35"/>
    </row>
    <row r="85" spans="1:14" x14ac:dyDescent="0.2">
      <c r="A85" s="2">
        <v>42398</v>
      </c>
      <c r="B85" s="2"/>
      <c r="C85" s="21">
        <v>3631.96</v>
      </c>
      <c r="D85" s="24">
        <f t="shared" si="8"/>
        <v>-4.9623194473518928E-2</v>
      </c>
      <c r="E85" s="20"/>
      <c r="F85" s="20">
        <v>4954.04</v>
      </c>
      <c r="G85" s="24">
        <f t="shared" si="9"/>
        <v>-8.7934281721827712E-2</v>
      </c>
      <c r="H85" s="20"/>
      <c r="I85" s="20">
        <v>1951.89</v>
      </c>
      <c r="J85" s="24">
        <f t="shared" si="10"/>
        <v>1.3758180118417007E-2</v>
      </c>
      <c r="K85" s="20"/>
      <c r="L85" s="20">
        <v>2172.39</v>
      </c>
      <c r="M85" s="14">
        <f t="shared" si="11"/>
        <v>2.1296701126891637E-2</v>
      </c>
      <c r="N85" s="35"/>
    </row>
    <row r="86" spans="1:14" x14ac:dyDescent="0.2">
      <c r="A86" s="2">
        <v>42369</v>
      </c>
      <c r="B86" s="2"/>
      <c r="C86" s="21">
        <v>3821.6</v>
      </c>
      <c r="D86" s="24">
        <f t="shared" si="8"/>
        <v>-1.5771960729775159E-2</v>
      </c>
      <c r="E86" s="20"/>
      <c r="F86" s="20">
        <v>5431.67</v>
      </c>
      <c r="G86" s="24">
        <f t="shared" si="9"/>
        <v>-5.0209746433261482E-2</v>
      </c>
      <c r="H86" s="20"/>
      <c r="I86" s="20">
        <v>1925.4</v>
      </c>
      <c r="J86" s="24">
        <f t="shared" si="10"/>
        <v>-3.2304156053922783E-3</v>
      </c>
      <c r="K86" s="20"/>
      <c r="L86" s="20">
        <v>2127.09</v>
      </c>
      <c r="M86" s="14">
        <f t="shared" si="11"/>
        <v>-1.6380516103595699E-3</v>
      </c>
      <c r="N86" s="35"/>
    </row>
    <row r="87" spans="1:14" x14ac:dyDescent="0.2">
      <c r="A87" s="2">
        <v>42338</v>
      </c>
      <c r="B87" s="2"/>
      <c r="C87" s="21">
        <v>3882.84</v>
      </c>
      <c r="D87" s="24">
        <f t="shared" si="8"/>
        <v>2.9731384304618746E-3</v>
      </c>
      <c r="E87" s="20"/>
      <c r="F87" s="20">
        <v>5718.81</v>
      </c>
      <c r="G87" s="24">
        <f t="shared" si="9"/>
        <v>3.2527782040750131E-2</v>
      </c>
      <c r="H87" s="20"/>
      <c r="I87" s="20">
        <v>1931.64</v>
      </c>
      <c r="J87" s="24">
        <f t="shared" si="10"/>
        <v>-2.6435903261116112E-3</v>
      </c>
      <c r="K87" s="20"/>
      <c r="L87" s="20">
        <v>2130.58</v>
      </c>
      <c r="M87" s="14">
        <f t="shared" si="11"/>
        <v>-4.0900655812801112E-3</v>
      </c>
      <c r="N87" s="35"/>
    </row>
    <row r="88" spans="1:14" x14ac:dyDescent="0.2">
      <c r="A88" s="2">
        <v>42307</v>
      </c>
      <c r="B88" s="2"/>
      <c r="C88" s="21">
        <v>3871.33</v>
      </c>
      <c r="D88" s="24">
        <f t="shared" si="8"/>
        <v>8.4354526535150853E-2</v>
      </c>
      <c r="E88" s="20"/>
      <c r="F88" s="20">
        <v>5538.65</v>
      </c>
      <c r="G88" s="24">
        <f t="shared" si="9"/>
        <v>5.634111732440239E-2</v>
      </c>
      <c r="H88" s="20"/>
      <c r="I88" s="20">
        <v>1936.76</v>
      </c>
      <c r="J88" s="24">
        <f t="shared" si="10"/>
        <v>1.7041669463901954E-4</v>
      </c>
      <c r="K88" s="20"/>
      <c r="L88" s="20">
        <v>2139.33</v>
      </c>
      <c r="M88" s="14">
        <f t="shared" si="11"/>
        <v>-3.6605982702975215E-3</v>
      </c>
      <c r="N88" s="35"/>
    </row>
    <row r="89" spans="1:14" x14ac:dyDescent="0.2">
      <c r="A89" s="2">
        <v>42277</v>
      </c>
      <c r="B89" s="2"/>
      <c r="C89" s="21">
        <v>3570.17</v>
      </c>
      <c r="D89" s="24">
        <f t="shared" si="8"/>
        <v>-2.4743563477429453E-2</v>
      </c>
      <c r="E89" s="20"/>
      <c r="F89" s="20">
        <v>5243.24</v>
      </c>
      <c r="G89" s="24">
        <f t="shared" si="9"/>
        <v>-4.9062708569107216E-2</v>
      </c>
      <c r="H89" s="20"/>
      <c r="I89" s="20">
        <v>1936.43</v>
      </c>
      <c r="J89" s="24">
        <f t="shared" si="10"/>
        <v>6.7639933035945621E-3</v>
      </c>
      <c r="K89" s="20"/>
      <c r="L89" s="20">
        <v>2147.19</v>
      </c>
      <c r="M89" s="14">
        <f t="shared" si="11"/>
        <v>8.7760921959492144E-3</v>
      </c>
      <c r="N89" s="35"/>
    </row>
    <row r="90" spans="1:14" x14ac:dyDescent="0.2">
      <c r="A90" s="2">
        <v>42247</v>
      </c>
      <c r="B90" s="2"/>
      <c r="C90" s="21">
        <v>3660.75</v>
      </c>
      <c r="D90" s="24">
        <f t="shared" si="8"/>
        <v>-6.0334206068073382E-2</v>
      </c>
      <c r="E90" s="20"/>
      <c r="F90" s="20">
        <v>5513.76</v>
      </c>
      <c r="G90" s="24">
        <f t="shared" si="9"/>
        <v>-6.284195265055259E-2</v>
      </c>
      <c r="H90" s="20"/>
      <c r="I90" s="20">
        <v>1923.42</v>
      </c>
      <c r="J90" s="24">
        <f t="shared" si="10"/>
        <v>-1.4380720489671761E-3</v>
      </c>
      <c r="K90" s="20"/>
      <c r="L90" s="20">
        <v>2128.5100000000002</v>
      </c>
      <c r="M90" s="14">
        <f t="shared" si="11"/>
        <v>4.3711634815157829E-4</v>
      </c>
      <c r="N90" s="35"/>
    </row>
    <row r="91" spans="1:14" x14ac:dyDescent="0.2">
      <c r="A91" s="2">
        <v>42216</v>
      </c>
      <c r="B91" s="2"/>
      <c r="C91" s="21">
        <v>3895.8</v>
      </c>
      <c r="D91" s="24">
        <f t="shared" si="8"/>
        <v>2.0952081449742588E-2</v>
      </c>
      <c r="E91" s="20"/>
      <c r="F91" s="20">
        <v>5883.49</v>
      </c>
      <c r="G91" s="24">
        <f t="shared" si="9"/>
        <v>-1.1621675651430463E-2</v>
      </c>
      <c r="H91" s="20"/>
      <c r="I91" s="20">
        <v>1926.19</v>
      </c>
      <c r="J91" s="24">
        <f t="shared" si="10"/>
        <v>6.9528305339041641E-3</v>
      </c>
      <c r="K91" s="20"/>
      <c r="L91" s="20">
        <v>2127.58</v>
      </c>
      <c r="M91" s="14">
        <f t="shared" si="11"/>
        <v>8.3365324006274832E-3</v>
      </c>
      <c r="N91" s="35"/>
    </row>
    <row r="92" spans="1:14" x14ac:dyDescent="0.2">
      <c r="A92" s="2">
        <v>42185</v>
      </c>
      <c r="B92" s="2"/>
      <c r="C92" s="21">
        <v>3815.85</v>
      </c>
      <c r="D92" s="24">
        <f t="shared" si="8"/>
        <v>-1.9359166114135018E-2</v>
      </c>
      <c r="E92" s="20"/>
      <c r="F92" s="20">
        <v>5952.67</v>
      </c>
      <c r="G92" s="24">
        <f t="shared" si="9"/>
        <v>7.4893118634085099E-3</v>
      </c>
      <c r="H92" s="20"/>
      <c r="I92" s="20">
        <v>1912.89</v>
      </c>
      <c r="J92" s="24">
        <f t="shared" si="10"/>
        <v>-1.0904973164148513E-2</v>
      </c>
      <c r="K92" s="20"/>
      <c r="L92" s="20">
        <v>2109.9899999999998</v>
      </c>
      <c r="M92" s="14">
        <f t="shared" si="11"/>
        <v>-8.8266518851174425E-3</v>
      </c>
      <c r="N92" s="35"/>
    </row>
    <row r="93" spans="1:14" x14ac:dyDescent="0.2">
      <c r="A93" s="2">
        <v>42153</v>
      </c>
      <c r="B93" s="2"/>
      <c r="C93" s="21">
        <v>3891.18</v>
      </c>
      <c r="D93" s="24">
        <f t="shared" si="8"/>
        <v>1.2858622825877575E-2</v>
      </c>
      <c r="E93" s="20"/>
      <c r="F93" s="20">
        <v>5908.42</v>
      </c>
      <c r="G93" s="24">
        <f t="shared" si="9"/>
        <v>2.2830275562880198E-2</v>
      </c>
      <c r="H93" s="20"/>
      <c r="I93" s="20">
        <v>1933.98</v>
      </c>
      <c r="J93" s="24">
        <f t="shared" si="10"/>
        <v>-2.4088927862172538E-3</v>
      </c>
      <c r="K93" s="20"/>
      <c r="L93" s="20">
        <v>2128.7800000000002</v>
      </c>
      <c r="M93" s="14">
        <f t="shared" si="11"/>
        <v>-1.8006020763191577E-3</v>
      </c>
      <c r="N93" s="35"/>
    </row>
    <row r="94" spans="1:14" x14ac:dyDescent="0.2">
      <c r="A94" s="2">
        <v>42124</v>
      </c>
      <c r="B94" s="2"/>
      <c r="C94" s="21">
        <v>3841.78</v>
      </c>
      <c r="D94" s="24">
        <f t="shared" si="8"/>
        <v>9.5945885574479917E-3</v>
      </c>
      <c r="E94" s="20"/>
      <c r="F94" s="20">
        <v>5776.54</v>
      </c>
      <c r="G94" s="24">
        <f t="shared" si="9"/>
        <v>-2.5503903693156915E-2</v>
      </c>
      <c r="H94" s="20"/>
      <c r="I94" s="20">
        <v>1938.65</v>
      </c>
      <c r="J94" s="24">
        <f t="shared" si="10"/>
        <v>-3.5875269193011983E-3</v>
      </c>
      <c r="K94" s="20"/>
      <c r="L94" s="20">
        <v>2132.62</v>
      </c>
      <c r="M94" s="14">
        <f t="shared" si="11"/>
        <v>-5.2614394328094338E-3</v>
      </c>
      <c r="N94" s="35"/>
    </row>
    <row r="95" spans="1:14" x14ac:dyDescent="0.2">
      <c r="A95" s="2">
        <v>42094</v>
      </c>
      <c r="B95" s="2"/>
      <c r="C95" s="21">
        <v>3805.27</v>
      </c>
      <c r="D95" s="24">
        <f t="shared" si="8"/>
        <v>-1.581566410271007E-2</v>
      </c>
      <c r="E95" s="20"/>
      <c r="F95" s="20">
        <v>5927.72</v>
      </c>
      <c r="G95" s="24">
        <f t="shared" si="9"/>
        <v>1.7421243962637778E-2</v>
      </c>
      <c r="H95" s="20"/>
      <c r="I95" s="20">
        <v>1945.63</v>
      </c>
      <c r="J95" s="24">
        <f t="shared" si="10"/>
        <v>4.6420604758756756E-3</v>
      </c>
      <c r="K95" s="20"/>
      <c r="L95" s="20">
        <v>2143.9</v>
      </c>
      <c r="M95" s="14">
        <f t="shared" si="11"/>
        <v>6.3084967565689709E-3</v>
      </c>
      <c r="N95" s="35"/>
    </row>
    <row r="96" spans="1:14" x14ac:dyDescent="0.2">
      <c r="A96" s="2">
        <v>42062</v>
      </c>
      <c r="B96" s="2"/>
      <c r="C96" s="21">
        <v>3866.42</v>
      </c>
      <c r="D96" s="24">
        <f t="shared" si="8"/>
        <v>5.747371645497612E-2</v>
      </c>
      <c r="E96" s="20"/>
      <c r="F96" s="20">
        <v>5826.22</v>
      </c>
      <c r="G96" s="24">
        <f t="shared" si="9"/>
        <v>5.9366658666259342E-2</v>
      </c>
      <c r="H96" s="20"/>
      <c r="I96" s="20">
        <v>1936.64</v>
      </c>
      <c r="J96" s="24">
        <f t="shared" si="10"/>
        <v>-9.4014383484567476E-3</v>
      </c>
      <c r="K96" s="20"/>
      <c r="L96" s="20">
        <v>2130.46</v>
      </c>
      <c r="M96" s="14">
        <f t="shared" si="11"/>
        <v>-1.5444479361147567E-2</v>
      </c>
      <c r="N96" s="35"/>
    </row>
    <row r="97" spans="1:14" x14ac:dyDescent="0.2">
      <c r="A97" s="2">
        <v>42034</v>
      </c>
      <c r="B97" s="2"/>
      <c r="C97" s="21">
        <v>3656.28</v>
      </c>
      <c r="D97" s="24">
        <f t="shared" si="8"/>
        <v>-3.0020374379218118E-2</v>
      </c>
      <c r="E97" s="20"/>
      <c r="F97" s="20">
        <v>5499.72</v>
      </c>
      <c r="G97" s="24">
        <f t="shared" si="9"/>
        <v>-3.2165420149582014E-2</v>
      </c>
      <c r="H97" s="20"/>
      <c r="I97" s="20">
        <v>1955.02</v>
      </c>
      <c r="J97" s="24">
        <f t="shared" si="10"/>
        <v>2.0967480821152407E-2</v>
      </c>
      <c r="K97" s="20"/>
      <c r="L97" s="20">
        <v>2163.88</v>
      </c>
      <c r="M97" s="14">
        <f t="shared" si="11"/>
        <v>2.5866155917546818E-2</v>
      </c>
      <c r="N97" s="35"/>
    </row>
    <row r="98" spans="1:14" x14ac:dyDescent="0.2">
      <c r="A98" s="2">
        <v>42004</v>
      </c>
      <c r="B98" s="2"/>
      <c r="C98" s="21">
        <v>3769.44</v>
      </c>
      <c r="D98" s="24">
        <f t="shared" si="8"/>
        <v>-2.5192116349471716E-3</v>
      </c>
      <c r="E98" s="20"/>
      <c r="F98" s="20">
        <v>5682.5</v>
      </c>
      <c r="G98" s="24">
        <f t="shared" si="9"/>
        <v>2.8499341181240423E-2</v>
      </c>
      <c r="H98" s="20"/>
      <c r="I98" s="20">
        <v>1914.87</v>
      </c>
      <c r="J98" s="24">
        <f t="shared" si="10"/>
        <v>9.3566395550626069E-4</v>
      </c>
      <c r="K98" s="20"/>
      <c r="L98" s="20">
        <v>2109.3200000000002</v>
      </c>
      <c r="M98" s="14">
        <f t="shared" si="11"/>
        <v>1.4242850089254411E-3</v>
      </c>
      <c r="N98" s="35"/>
    </row>
    <row r="99" spans="1:14" x14ac:dyDescent="0.2">
      <c r="A99" s="2">
        <v>41971</v>
      </c>
      <c r="B99" s="2"/>
      <c r="C99" s="21">
        <v>3778.96</v>
      </c>
      <c r="D99" s="24">
        <f t="shared" si="8"/>
        <v>2.6894094820909986E-2</v>
      </c>
      <c r="E99" s="20"/>
      <c r="F99" s="20">
        <v>5525.04</v>
      </c>
      <c r="G99" s="24">
        <f t="shared" si="9"/>
        <v>8.9672450992650532E-4</v>
      </c>
      <c r="H99" s="20"/>
      <c r="I99" s="20">
        <v>1913.08</v>
      </c>
      <c r="J99" s="24">
        <f t="shared" si="10"/>
        <v>7.0962307854285367E-3</v>
      </c>
      <c r="K99" s="20"/>
      <c r="L99" s="20">
        <v>2106.3200000000002</v>
      </c>
      <c r="M99" s="14">
        <f t="shared" si="11"/>
        <v>8.0642459571089731E-3</v>
      </c>
      <c r="N99" s="35"/>
    </row>
    <row r="100" spans="1:14" x14ac:dyDescent="0.2">
      <c r="A100" s="2">
        <v>41943</v>
      </c>
      <c r="B100" s="2"/>
      <c r="C100" s="21">
        <v>3679.99</v>
      </c>
      <c r="D100" s="24">
        <f t="shared" si="8"/>
        <v>2.4424803396200012E-2</v>
      </c>
      <c r="E100" s="20"/>
      <c r="F100" s="20">
        <v>5520.09</v>
      </c>
      <c r="G100" s="24">
        <f t="shared" si="9"/>
        <v>6.5919891247048001E-2</v>
      </c>
      <c r="H100" s="20"/>
      <c r="I100" s="20">
        <v>1899.6</v>
      </c>
      <c r="J100" s="24">
        <f t="shared" si="10"/>
        <v>9.8293029115787967E-3</v>
      </c>
      <c r="K100" s="20"/>
      <c r="L100" s="20">
        <v>2089.4699999999998</v>
      </c>
      <c r="M100" s="14">
        <f t="shared" si="11"/>
        <v>9.7423778940806116E-3</v>
      </c>
      <c r="N100" s="35"/>
    </row>
    <row r="101" spans="1:14" x14ac:dyDescent="0.2">
      <c r="A101" s="2">
        <v>41912</v>
      </c>
      <c r="B101" s="2"/>
      <c r="C101" s="21">
        <v>3592.25</v>
      </c>
      <c r="D101" s="24">
        <f t="shared" si="8"/>
        <v>-1.4022847167708741E-2</v>
      </c>
      <c r="E101" s="20"/>
      <c r="F101" s="20">
        <v>5178.71</v>
      </c>
      <c r="G101" s="24">
        <f t="shared" si="9"/>
        <v>-6.0495231460568122E-2</v>
      </c>
      <c r="H101" s="20"/>
      <c r="I101" s="20">
        <v>1881.11</v>
      </c>
      <c r="J101" s="24">
        <f t="shared" si="10"/>
        <v>-6.7899702740804591E-3</v>
      </c>
      <c r="K101" s="20"/>
      <c r="L101" s="20">
        <v>2069.31</v>
      </c>
      <c r="M101" s="14">
        <f t="shared" si="11"/>
        <v>-5.4741192867784338E-3</v>
      </c>
      <c r="N101" s="35"/>
    </row>
    <row r="102" spans="1:14" x14ac:dyDescent="0.2">
      <c r="A102" s="2">
        <v>41880</v>
      </c>
      <c r="B102" s="2"/>
      <c r="C102" s="21">
        <v>3643.34</v>
      </c>
      <c r="D102" s="24">
        <f t="shared" si="8"/>
        <v>4.0006394172168891E-2</v>
      </c>
      <c r="E102" s="20"/>
      <c r="F102" s="20">
        <v>5512.17</v>
      </c>
      <c r="G102" s="24">
        <f t="shared" si="9"/>
        <v>4.9585281886453281E-2</v>
      </c>
      <c r="H102" s="20"/>
      <c r="I102" s="20">
        <v>1893.97</v>
      </c>
      <c r="J102" s="24">
        <f t="shared" si="10"/>
        <v>1.1039401267289195E-2</v>
      </c>
      <c r="K102" s="20"/>
      <c r="L102" s="20">
        <v>2080.6999999999998</v>
      </c>
      <c r="M102" s="14">
        <f t="shared" si="11"/>
        <v>1.0548912568359103E-2</v>
      </c>
      <c r="N102" s="35"/>
    </row>
    <row r="103" spans="1:14" x14ac:dyDescent="0.2">
      <c r="A103" s="2">
        <v>41851</v>
      </c>
      <c r="B103" s="2"/>
      <c r="C103" s="21">
        <v>3503.19</v>
      </c>
      <c r="D103" s="24">
        <f t="shared" si="8"/>
        <v>-1.3791530834586063E-2</v>
      </c>
      <c r="E103" s="20"/>
      <c r="F103" s="20">
        <v>5251.76</v>
      </c>
      <c r="G103" s="24">
        <f t="shared" si="9"/>
        <v>-6.0528217641123927E-2</v>
      </c>
      <c r="H103" s="20"/>
      <c r="I103" s="20">
        <v>1873.29</v>
      </c>
      <c r="J103" s="24">
        <f t="shared" si="10"/>
        <v>-2.5079872204473164E-3</v>
      </c>
      <c r="K103" s="20"/>
      <c r="L103" s="20">
        <v>2058.98</v>
      </c>
      <c r="M103" s="14">
        <f t="shared" si="11"/>
        <v>-1.6292172968570551E-3</v>
      </c>
      <c r="N103" s="35"/>
    </row>
    <row r="104" spans="1:14" x14ac:dyDescent="0.2">
      <c r="A104" s="2">
        <v>41820</v>
      </c>
      <c r="B104" s="2"/>
      <c r="C104" s="21">
        <v>3552.18</v>
      </c>
      <c r="D104" s="24">
        <f t="shared" si="8"/>
        <v>2.0656324616626698E-2</v>
      </c>
      <c r="E104" s="20"/>
      <c r="F104" s="20">
        <v>5590.12</v>
      </c>
      <c r="G104" s="24">
        <f t="shared" si="9"/>
        <v>5.3205519507434351E-2</v>
      </c>
      <c r="H104" s="20"/>
      <c r="I104" s="20">
        <v>1878</v>
      </c>
      <c r="J104" s="24">
        <f t="shared" si="10"/>
        <v>5.1677383952308809E-4</v>
      </c>
      <c r="K104" s="20"/>
      <c r="L104" s="20">
        <v>2062.34</v>
      </c>
      <c r="M104" s="14">
        <f t="shared" si="11"/>
        <v>-1.4235357917570246E-3</v>
      </c>
      <c r="N104" s="35"/>
    </row>
    <row r="105" spans="1:14" x14ac:dyDescent="0.2">
      <c r="A105" s="2">
        <v>41789</v>
      </c>
      <c r="B105" s="2"/>
      <c r="C105" s="21">
        <v>3480.29</v>
      </c>
      <c r="D105" s="24">
        <f t="shared" si="8"/>
        <v>2.3476235568129056E-2</v>
      </c>
      <c r="E105" s="20"/>
      <c r="F105" s="20">
        <v>5307.72</v>
      </c>
      <c r="G105" s="24">
        <f t="shared" si="9"/>
        <v>8.0144031358726497E-3</v>
      </c>
      <c r="H105" s="20"/>
      <c r="I105" s="20">
        <v>1877.03</v>
      </c>
      <c r="J105" s="24">
        <f t="shared" si="10"/>
        <v>1.1385311708604906E-2</v>
      </c>
      <c r="K105" s="20"/>
      <c r="L105" s="20">
        <v>2065.2800000000002</v>
      </c>
      <c r="M105" s="14">
        <f t="shared" si="11"/>
        <v>9.4183312887035076E-3</v>
      </c>
      <c r="N105" s="35"/>
    </row>
    <row r="106" spans="1:14" x14ac:dyDescent="0.2">
      <c r="A106" s="2">
        <v>41759</v>
      </c>
      <c r="B106" s="2"/>
      <c r="C106" s="21">
        <v>3400.46</v>
      </c>
      <c r="D106" s="24">
        <f t="shared" si="8"/>
        <v>7.3914756584929631E-3</v>
      </c>
      <c r="E106" s="20"/>
      <c r="F106" s="20">
        <v>5265.52</v>
      </c>
      <c r="G106" s="24">
        <f t="shared" si="9"/>
        <v>-3.8780860028185593E-2</v>
      </c>
      <c r="H106" s="20"/>
      <c r="I106" s="20">
        <v>1855.9</v>
      </c>
      <c r="J106" s="24">
        <f t="shared" si="10"/>
        <v>8.4385205148964637E-3</v>
      </c>
      <c r="K106" s="20"/>
      <c r="L106" s="20">
        <v>2046.01</v>
      </c>
      <c r="M106" s="14">
        <f t="shared" si="11"/>
        <v>5.5190241696891906E-3</v>
      </c>
      <c r="N106" s="35"/>
    </row>
    <row r="107" spans="1:14" x14ac:dyDescent="0.2">
      <c r="A107" s="2">
        <v>41729</v>
      </c>
      <c r="B107" s="2"/>
      <c r="C107" s="21">
        <v>3375.51</v>
      </c>
      <c r="D107" s="24">
        <f t="shared" si="8"/>
        <v>8.4035872831886849E-3</v>
      </c>
      <c r="E107" s="20"/>
      <c r="F107" s="20">
        <v>5477.96</v>
      </c>
      <c r="G107" s="24">
        <f t="shared" si="9"/>
        <v>-6.8170775043695508E-3</v>
      </c>
      <c r="H107" s="20"/>
      <c r="I107" s="20">
        <v>1840.37</v>
      </c>
      <c r="J107" s="24">
        <f t="shared" si="10"/>
        <v>-1.7032725615809818E-3</v>
      </c>
      <c r="K107" s="20"/>
      <c r="L107" s="20">
        <v>2034.78</v>
      </c>
      <c r="M107" s="14">
        <f t="shared" si="11"/>
        <v>-2.856988841571817E-3</v>
      </c>
      <c r="N107" s="35"/>
    </row>
    <row r="108" spans="1:14" x14ac:dyDescent="0.2">
      <c r="A108" s="2">
        <v>41698</v>
      </c>
      <c r="B108" s="2"/>
      <c r="C108" s="21">
        <v>3347.38</v>
      </c>
      <c r="D108" s="24">
        <f t="shared" si="8"/>
        <v>4.5745794217341818E-2</v>
      </c>
      <c r="E108" s="20"/>
      <c r="F108" s="20">
        <v>5515.56</v>
      </c>
      <c r="G108" s="24">
        <f t="shared" si="9"/>
        <v>4.7112427383529054E-2</v>
      </c>
      <c r="H108" s="20"/>
      <c r="I108" s="20">
        <v>1843.51</v>
      </c>
      <c r="J108" s="24">
        <f t="shared" si="10"/>
        <v>5.3169444202076921E-3</v>
      </c>
      <c r="K108" s="20"/>
      <c r="L108" s="20">
        <v>2040.61</v>
      </c>
      <c r="M108" s="14">
        <f t="shared" si="11"/>
        <v>2.7222650817908534E-3</v>
      </c>
      <c r="N108" s="35"/>
    </row>
    <row r="109" spans="1:14" x14ac:dyDescent="0.2">
      <c r="A109" s="2">
        <v>41670</v>
      </c>
      <c r="B109" s="2"/>
      <c r="C109" s="21">
        <v>3200.95</v>
      </c>
      <c r="D109" s="24">
        <f t="shared" si="8"/>
        <v>-3.4576048305128282E-2</v>
      </c>
      <c r="E109" s="20"/>
      <c r="F109" s="20">
        <v>5267.4</v>
      </c>
      <c r="G109" s="24">
        <f t="shared" si="9"/>
        <v>-2.7681379860300948E-2</v>
      </c>
      <c r="H109" s="20"/>
      <c r="I109" s="20">
        <v>1833.76</v>
      </c>
      <c r="J109" s="24">
        <f t="shared" si="10"/>
        <v>1.4775381005611266E-2</v>
      </c>
      <c r="K109" s="20"/>
      <c r="L109" s="20">
        <v>2035.07</v>
      </c>
      <c r="M109" s="14">
        <f t="shared" si="11"/>
        <v>1.3566885642708693E-2</v>
      </c>
      <c r="N109" s="35"/>
    </row>
    <row r="110" spans="1:14" x14ac:dyDescent="0.2">
      <c r="A110" s="2">
        <v>41639</v>
      </c>
      <c r="B110" s="2"/>
      <c r="C110" s="21">
        <v>3315.59</v>
      </c>
      <c r="D110" s="24">
        <f t="shared" si="8"/>
        <v>2.5317590886038577E-2</v>
      </c>
      <c r="E110" s="20"/>
      <c r="F110" s="20">
        <v>5417.36</v>
      </c>
      <c r="G110" s="24">
        <f t="shared" si="9"/>
        <v>1.9680770968227623E-2</v>
      </c>
      <c r="H110" s="20"/>
      <c r="I110" s="20">
        <v>1807.06</v>
      </c>
      <c r="J110" s="24">
        <f t="shared" si="10"/>
        <v>-5.6511475626330743E-3</v>
      </c>
      <c r="K110" s="20"/>
      <c r="L110" s="20">
        <v>2007.83</v>
      </c>
      <c r="M110" s="14">
        <f t="shared" si="11"/>
        <v>-9.0711229339506261E-3</v>
      </c>
      <c r="N110" s="35"/>
    </row>
    <row r="111" spans="1:14" x14ac:dyDescent="0.2">
      <c r="A111" s="2">
        <v>41607</v>
      </c>
      <c r="B111" s="2"/>
      <c r="C111" s="21">
        <v>3233.72</v>
      </c>
      <c r="D111" s="24">
        <f t="shared" si="8"/>
        <v>3.0473950715243836E-2</v>
      </c>
      <c r="E111" s="20"/>
      <c r="F111" s="20">
        <v>5312.8</v>
      </c>
      <c r="G111" s="24">
        <f t="shared" si="9"/>
        <v>4.0063428051251515E-2</v>
      </c>
      <c r="H111" s="20"/>
      <c r="I111" s="20">
        <v>1817.33</v>
      </c>
      <c r="J111" s="24">
        <f t="shared" si="10"/>
        <v>-3.7441891062188759E-3</v>
      </c>
      <c r="K111" s="20"/>
      <c r="L111" s="20">
        <v>2026.21</v>
      </c>
      <c r="M111" s="14">
        <f t="shared" si="11"/>
        <v>-3.2712533081470374E-3</v>
      </c>
      <c r="N111" s="35"/>
    </row>
    <row r="112" spans="1:14" x14ac:dyDescent="0.2">
      <c r="A112" s="2">
        <v>41578</v>
      </c>
      <c r="B112" s="2"/>
      <c r="C112" s="21">
        <v>3138.09</v>
      </c>
      <c r="D112" s="24">
        <f t="shared" si="8"/>
        <v>4.5967241965482186E-2</v>
      </c>
      <c r="E112" s="20"/>
      <c r="F112" s="20">
        <v>5108.1499999999996</v>
      </c>
      <c r="G112" s="24">
        <f t="shared" si="9"/>
        <v>2.5146251643135775E-2</v>
      </c>
      <c r="H112" s="20"/>
      <c r="I112" s="20">
        <v>1824.16</v>
      </c>
      <c r="J112" s="24">
        <f t="shared" si="10"/>
        <v>8.0849723408842333E-3</v>
      </c>
      <c r="K112" s="20"/>
      <c r="L112" s="20">
        <v>2032.86</v>
      </c>
      <c r="M112" s="14">
        <f t="shared" si="11"/>
        <v>4.8242795709554365E-3</v>
      </c>
      <c r="N112" s="35"/>
    </row>
    <row r="113" spans="1:14" x14ac:dyDescent="0.2">
      <c r="A113" s="2">
        <v>41547</v>
      </c>
      <c r="B113" s="2"/>
      <c r="C113" s="21">
        <v>3000.18</v>
      </c>
      <c r="D113" s="24">
        <f t="shared" si="8"/>
        <v>3.135828612287539E-2</v>
      </c>
      <c r="E113" s="20"/>
      <c r="F113" s="20">
        <v>4982.8500000000004</v>
      </c>
      <c r="G113" s="24">
        <f t="shared" si="9"/>
        <v>6.3804576867158236E-2</v>
      </c>
      <c r="H113" s="20"/>
      <c r="I113" s="20">
        <v>1809.53</v>
      </c>
      <c r="J113" s="24">
        <f t="shared" si="10"/>
        <v>9.4669076627840187E-3</v>
      </c>
      <c r="K113" s="20"/>
      <c r="L113" s="20">
        <v>2023.1</v>
      </c>
      <c r="M113" s="14">
        <f t="shared" si="11"/>
        <v>6.9933550683158874E-3</v>
      </c>
      <c r="N113" s="35"/>
    </row>
    <row r="114" spans="1:14" x14ac:dyDescent="0.2">
      <c r="A114" s="2">
        <v>41516</v>
      </c>
      <c r="B114" s="2"/>
      <c r="C114" s="21">
        <v>2908.96</v>
      </c>
      <c r="D114" s="24">
        <f t="shared" si="8"/>
        <v>-2.8961318147223247E-2</v>
      </c>
      <c r="E114" s="20"/>
      <c r="F114" s="20">
        <v>4683.99</v>
      </c>
      <c r="G114" s="24">
        <f t="shared" si="9"/>
        <v>-3.1763356175002255E-2</v>
      </c>
      <c r="H114" s="20"/>
      <c r="I114" s="20">
        <v>1792.56</v>
      </c>
      <c r="J114" s="24">
        <f t="shared" si="10"/>
        <v>-5.1116402204499645E-3</v>
      </c>
      <c r="K114" s="20"/>
      <c r="L114" s="20">
        <v>2009.05</v>
      </c>
      <c r="M114" s="14">
        <f t="shared" si="11"/>
        <v>-4.8591779519134848E-3</v>
      </c>
      <c r="N114" s="35"/>
    </row>
    <row r="115" spans="1:14" x14ac:dyDescent="0.2">
      <c r="A115" s="2">
        <v>41486</v>
      </c>
      <c r="B115" s="2"/>
      <c r="C115" s="21">
        <v>2995.72</v>
      </c>
      <c r="D115" s="24">
        <f t="shared" si="8"/>
        <v>5.0886461380873271E-2</v>
      </c>
      <c r="E115" s="20"/>
      <c r="F115" s="20">
        <v>4837.6499999999996</v>
      </c>
      <c r="G115" s="24">
        <f t="shared" si="9"/>
        <v>6.9985380084623072E-2</v>
      </c>
      <c r="H115" s="20"/>
      <c r="I115" s="20">
        <v>1801.77</v>
      </c>
      <c r="J115" s="24">
        <f t="shared" si="10"/>
        <v>1.3671907564567487E-3</v>
      </c>
      <c r="K115" s="20"/>
      <c r="L115" s="20">
        <v>2018.86</v>
      </c>
      <c r="M115" s="14">
        <f t="shared" si="11"/>
        <v>-1.0885376980396266E-3</v>
      </c>
      <c r="N115" s="35"/>
    </row>
    <row r="116" spans="1:14" x14ac:dyDescent="0.2">
      <c r="A116" s="2">
        <v>41453</v>
      </c>
      <c r="B116" s="2"/>
      <c r="C116" s="21">
        <v>2850.66</v>
      </c>
      <c r="D116" s="24">
        <f t="shared" si="8"/>
        <v>-1.3428114595806839E-2</v>
      </c>
      <c r="E116" s="20"/>
      <c r="F116" s="20">
        <v>4521.2299999999996</v>
      </c>
      <c r="G116" s="24">
        <f t="shared" si="9"/>
        <v>-5.1160968911734273E-3</v>
      </c>
      <c r="H116" s="20"/>
      <c r="I116" s="20">
        <v>1799.31</v>
      </c>
      <c r="J116" s="24">
        <f t="shared" si="10"/>
        <v>-1.546854310071244E-2</v>
      </c>
      <c r="K116" s="20"/>
      <c r="L116" s="20">
        <v>2021.06</v>
      </c>
      <c r="M116" s="14">
        <f t="shared" si="11"/>
        <v>-1.1005358322527026E-2</v>
      </c>
      <c r="N116" s="35"/>
    </row>
    <row r="117" spans="1:14" x14ac:dyDescent="0.2">
      <c r="A117" s="2">
        <v>41425</v>
      </c>
      <c r="B117" s="2"/>
      <c r="C117" s="21">
        <v>2889.46</v>
      </c>
      <c r="D117" s="24">
        <f t="shared" si="8"/>
        <v>2.3390073031996694E-2</v>
      </c>
      <c r="E117" s="20"/>
      <c r="F117" s="20">
        <v>4544.4799999999996</v>
      </c>
      <c r="G117" s="24">
        <f t="shared" si="9"/>
        <v>3.9967229846469943E-2</v>
      </c>
      <c r="H117" s="20"/>
      <c r="I117" s="20">
        <v>1827.58</v>
      </c>
      <c r="J117" s="24">
        <f t="shared" si="10"/>
        <v>-1.7841980244843625E-2</v>
      </c>
      <c r="K117" s="20"/>
      <c r="L117" s="20">
        <v>2043.55</v>
      </c>
      <c r="M117" s="14">
        <f t="shared" si="11"/>
        <v>-1.707510641879717E-2</v>
      </c>
      <c r="N117" s="35"/>
    </row>
    <row r="118" spans="1:14" x14ac:dyDescent="0.2">
      <c r="A118" s="2">
        <v>41394</v>
      </c>
      <c r="B118" s="2"/>
      <c r="C118" s="21">
        <v>2823.42</v>
      </c>
      <c r="D118" s="24">
        <f t="shared" si="8"/>
        <v>1.9266800238262771E-2</v>
      </c>
      <c r="E118" s="20"/>
      <c r="F118" s="20">
        <v>4369.83</v>
      </c>
      <c r="G118" s="24">
        <f t="shared" si="9"/>
        <v>-3.6753724962664824E-3</v>
      </c>
      <c r="H118" s="20"/>
      <c r="I118" s="20">
        <v>1860.78</v>
      </c>
      <c r="J118" s="24">
        <f t="shared" si="10"/>
        <v>1.0118666333720494E-2</v>
      </c>
      <c r="K118" s="20"/>
      <c r="L118" s="20">
        <v>2079.0500000000002</v>
      </c>
      <c r="M118" s="14">
        <f t="shared" si="11"/>
        <v>8.8900535247218304E-3</v>
      </c>
      <c r="N118" s="35"/>
    </row>
    <row r="119" spans="1:14" x14ac:dyDescent="0.2">
      <c r="A119" s="2">
        <v>41362</v>
      </c>
      <c r="B119" s="2"/>
      <c r="C119" s="21">
        <v>2770.05</v>
      </c>
      <c r="D119" s="24">
        <f t="shared" si="8"/>
        <v>3.7502996344459749E-2</v>
      </c>
      <c r="E119" s="20"/>
      <c r="F119" s="20">
        <v>4385.95</v>
      </c>
      <c r="G119" s="24">
        <f t="shared" si="9"/>
        <v>4.6174359610435145E-2</v>
      </c>
      <c r="H119" s="20"/>
      <c r="I119" s="20">
        <v>1842.14</v>
      </c>
      <c r="J119" s="24">
        <f t="shared" si="10"/>
        <v>7.9862224081450606E-4</v>
      </c>
      <c r="K119" s="20"/>
      <c r="L119" s="20">
        <v>2060.73</v>
      </c>
      <c r="M119" s="14">
        <f t="shared" si="11"/>
        <v>9.8119696314680205E-4</v>
      </c>
      <c r="N119" s="35"/>
    </row>
    <row r="120" spans="1:14" x14ac:dyDescent="0.2">
      <c r="A120" s="2">
        <v>41333</v>
      </c>
      <c r="B120" s="2"/>
      <c r="C120" s="21">
        <v>2669.92</v>
      </c>
      <c r="D120" s="24">
        <f t="shared" si="8"/>
        <v>1.3575485164151191E-2</v>
      </c>
      <c r="E120" s="20"/>
      <c r="F120" s="20">
        <v>4192.37</v>
      </c>
      <c r="G120" s="24">
        <f t="shared" si="9"/>
        <v>1.1030644161644565E-2</v>
      </c>
      <c r="H120" s="20"/>
      <c r="I120" s="20">
        <v>1840.67</v>
      </c>
      <c r="J120" s="24">
        <f t="shared" si="10"/>
        <v>5.0123123795380309E-3</v>
      </c>
      <c r="K120" s="20"/>
      <c r="L120" s="20">
        <v>2058.71</v>
      </c>
      <c r="M120" s="14">
        <f t="shared" si="11"/>
        <v>5.2834869060349732E-3</v>
      </c>
      <c r="N120" s="35"/>
    </row>
    <row r="121" spans="1:14" x14ac:dyDescent="0.2">
      <c r="A121" s="2">
        <v>41305</v>
      </c>
      <c r="B121" s="2"/>
      <c r="C121" s="21">
        <v>2634.16</v>
      </c>
      <c r="D121" s="24">
        <f t="shared" si="8"/>
        <v>5.1796010285732441E-2</v>
      </c>
      <c r="E121" s="20"/>
      <c r="F121" s="20">
        <v>4146.63</v>
      </c>
      <c r="G121" s="24">
        <f t="shared" si="9"/>
        <v>6.2592732108949223E-2</v>
      </c>
      <c r="H121" s="20"/>
      <c r="I121" s="20">
        <v>1831.49</v>
      </c>
      <c r="J121" s="24">
        <f t="shared" si="10"/>
        <v>-6.9941823583949958E-3</v>
      </c>
      <c r="K121" s="20"/>
      <c r="L121" s="20">
        <v>2047.89</v>
      </c>
      <c r="M121" s="14">
        <f t="shared" si="11"/>
        <v>-8.0743596698569231E-3</v>
      </c>
      <c r="N121" s="35"/>
    </row>
    <row r="122" spans="1:14" x14ac:dyDescent="0.2">
      <c r="A122" s="2">
        <v>41274</v>
      </c>
      <c r="B122" s="2"/>
      <c r="C122" s="21">
        <v>2504.44</v>
      </c>
      <c r="D122" s="24">
        <f t="shared" si="8"/>
        <v>9.1142790371581128E-3</v>
      </c>
      <c r="E122" s="20"/>
      <c r="F122" s="20">
        <v>3902.37</v>
      </c>
      <c r="G122" s="24">
        <f t="shared" si="9"/>
        <v>3.562509786021173E-2</v>
      </c>
      <c r="H122" s="20"/>
      <c r="I122" s="20">
        <v>1844.39</v>
      </c>
      <c r="J122" s="24">
        <f t="shared" si="10"/>
        <v>-1.4239152797478338E-3</v>
      </c>
      <c r="K122" s="20"/>
      <c r="L122" s="20">
        <v>2064.56</v>
      </c>
      <c r="M122" s="14">
        <f t="shared" si="11"/>
        <v>-4.3499647951851239E-3</v>
      </c>
      <c r="N122" s="35"/>
    </row>
    <row r="123" spans="1:14" x14ac:dyDescent="0.2">
      <c r="A123" s="2">
        <v>41243</v>
      </c>
      <c r="B123" s="2"/>
      <c r="C123" s="21">
        <v>2481.8200000000002</v>
      </c>
      <c r="D123" s="24">
        <f t="shared" si="8"/>
        <v>5.7993685942507867E-3</v>
      </c>
      <c r="E123" s="20"/>
      <c r="F123" s="20">
        <v>3768.13</v>
      </c>
      <c r="G123" s="24">
        <f t="shared" si="9"/>
        <v>5.3145368055684816E-3</v>
      </c>
      <c r="H123" s="20"/>
      <c r="I123" s="20">
        <v>1847.02</v>
      </c>
      <c r="J123" s="24">
        <f t="shared" si="10"/>
        <v>1.5779969741502864E-3</v>
      </c>
      <c r="K123" s="20"/>
      <c r="L123" s="20">
        <v>2073.58</v>
      </c>
      <c r="M123" s="14">
        <f t="shared" si="11"/>
        <v>5.2015415565842549E-3</v>
      </c>
      <c r="N123" s="35"/>
    </row>
    <row r="124" spans="1:14" x14ac:dyDescent="0.2">
      <c r="A124" s="2">
        <v>41213</v>
      </c>
      <c r="B124" s="2"/>
      <c r="C124" s="21">
        <v>2467.5100000000002</v>
      </c>
      <c r="D124" s="24">
        <f t="shared" si="8"/>
        <v>-1.8465112393741934E-2</v>
      </c>
      <c r="E124" s="20"/>
      <c r="F124" s="20">
        <v>3748.21</v>
      </c>
      <c r="G124" s="24">
        <f t="shared" si="9"/>
        <v>-2.1694816160445551E-2</v>
      </c>
      <c r="H124" s="20"/>
      <c r="I124" s="20">
        <v>1844.11</v>
      </c>
      <c r="J124" s="24">
        <f t="shared" si="10"/>
        <v>1.9668675189759011E-3</v>
      </c>
      <c r="K124" s="20"/>
      <c r="L124" s="20">
        <v>2062.85</v>
      </c>
      <c r="M124" s="14">
        <f t="shared" si="11"/>
        <v>-1.693807922181656E-3</v>
      </c>
      <c r="N124" s="35"/>
    </row>
    <row r="125" spans="1:14" x14ac:dyDescent="0.2">
      <c r="A125" s="2">
        <v>41180</v>
      </c>
      <c r="B125" s="2"/>
      <c r="C125" s="21">
        <v>2513.9299999999998</v>
      </c>
      <c r="D125" s="24">
        <f t="shared" si="8"/>
        <v>2.5842650779400955E-2</v>
      </c>
      <c r="E125" s="20"/>
      <c r="F125" s="20">
        <v>3831.33</v>
      </c>
      <c r="G125" s="24">
        <f t="shared" si="9"/>
        <v>3.2837132567016702E-2</v>
      </c>
      <c r="H125" s="20"/>
      <c r="I125" s="20">
        <v>1840.49</v>
      </c>
      <c r="J125" s="24">
        <f t="shared" si="10"/>
        <v>1.3765261485561009E-3</v>
      </c>
      <c r="K125" s="20"/>
      <c r="L125" s="20">
        <v>2066.35</v>
      </c>
      <c r="M125" s="14">
        <f t="shared" si="11"/>
        <v>-3.0588269350457775E-3</v>
      </c>
      <c r="N125" s="35"/>
    </row>
    <row r="126" spans="1:14" x14ac:dyDescent="0.2">
      <c r="A126" s="2">
        <v>41152</v>
      </c>
      <c r="B126" s="2"/>
      <c r="C126" s="21">
        <v>2450.6</v>
      </c>
      <c r="D126" s="24">
        <f t="shared" si="8"/>
        <v>2.2523387103504211E-2</v>
      </c>
      <c r="E126" s="20"/>
      <c r="F126" s="20">
        <v>3709.52</v>
      </c>
      <c r="G126" s="24">
        <f t="shared" si="9"/>
        <v>3.3347168791663107E-2</v>
      </c>
      <c r="H126" s="20"/>
      <c r="I126" s="20">
        <v>1837.96</v>
      </c>
      <c r="J126" s="24">
        <f t="shared" si="10"/>
        <v>6.5332433197595741E-4</v>
      </c>
      <c r="K126" s="20"/>
      <c r="L126" s="20">
        <v>2072.69</v>
      </c>
      <c r="M126" s="14">
        <f t="shared" si="11"/>
        <v>-1.2865237838255439E-3</v>
      </c>
      <c r="N126" s="35"/>
    </row>
    <row r="127" spans="1:14" x14ac:dyDescent="0.2">
      <c r="A127" s="2">
        <v>41121</v>
      </c>
      <c r="B127" s="2"/>
      <c r="C127" s="21">
        <v>2396.62</v>
      </c>
      <c r="D127" s="24">
        <f t="shared" si="8"/>
        <v>1.3888712618295163E-2</v>
      </c>
      <c r="E127" s="20"/>
      <c r="F127" s="20">
        <v>3589.81</v>
      </c>
      <c r="G127" s="24">
        <f t="shared" si="9"/>
        <v>-1.3818263733788361E-2</v>
      </c>
      <c r="H127" s="20"/>
      <c r="I127" s="20">
        <v>1836.76</v>
      </c>
      <c r="J127" s="24">
        <f t="shared" si="10"/>
        <v>1.3793141513547491E-2</v>
      </c>
      <c r="K127" s="20"/>
      <c r="L127" s="20">
        <v>2075.36</v>
      </c>
      <c r="M127" s="14">
        <f t="shared" si="11"/>
        <v>1.0064827613059046E-2</v>
      </c>
      <c r="N127" s="35"/>
    </row>
    <row r="128" spans="1:14" x14ac:dyDescent="0.2">
      <c r="A128" s="2">
        <v>41089</v>
      </c>
      <c r="B128" s="2"/>
      <c r="C128" s="21">
        <v>2363.79</v>
      </c>
      <c r="D128" s="24">
        <f t="shared" si="8"/>
        <v>4.1202510736702891E-2</v>
      </c>
      <c r="E128" s="20"/>
      <c r="F128" s="20">
        <v>3640.11</v>
      </c>
      <c r="G128" s="24">
        <f t="shared" si="9"/>
        <v>4.9900493207579943E-2</v>
      </c>
      <c r="H128" s="20"/>
      <c r="I128" s="20">
        <v>1811.77</v>
      </c>
      <c r="J128" s="24">
        <f t="shared" si="10"/>
        <v>3.9203560345879573E-4</v>
      </c>
      <c r="K128" s="20"/>
      <c r="L128" s="20">
        <v>2054.6799999999998</v>
      </c>
      <c r="M128" s="14">
        <f t="shared" si="11"/>
        <v>-3.4774595630138183E-3</v>
      </c>
      <c r="N128" s="35"/>
    </row>
    <row r="129" spans="1:14" x14ac:dyDescent="0.2">
      <c r="A129" s="2">
        <v>41060</v>
      </c>
      <c r="B129" s="2"/>
      <c r="C129" s="21">
        <v>2270.25</v>
      </c>
      <c r="D129" s="24">
        <f t="shared" si="8"/>
        <v>-6.0101348833743184E-2</v>
      </c>
      <c r="E129" s="20"/>
      <c r="F129" s="20">
        <v>3467.1</v>
      </c>
      <c r="G129" s="24">
        <f t="shared" si="9"/>
        <v>-6.6191561222346151E-2</v>
      </c>
      <c r="H129" s="20"/>
      <c r="I129" s="20">
        <v>1811.06</v>
      </c>
      <c r="J129" s="24">
        <f t="shared" si="10"/>
        <v>9.048261106963329E-3</v>
      </c>
      <c r="K129" s="20"/>
      <c r="L129" s="20">
        <v>2061.85</v>
      </c>
      <c r="M129" s="14">
        <f t="shared" si="11"/>
        <v>1.7142716195550189E-2</v>
      </c>
      <c r="N129" s="35"/>
    </row>
    <row r="130" spans="1:14" x14ac:dyDescent="0.2">
      <c r="A130" s="2">
        <v>41029</v>
      </c>
      <c r="B130" s="2"/>
      <c r="C130" s="21">
        <v>2415.42</v>
      </c>
      <c r="D130" s="24">
        <f t="shared" si="8"/>
        <v>-6.2739902989710217E-3</v>
      </c>
      <c r="E130" s="20"/>
      <c r="F130" s="20">
        <v>3712.86</v>
      </c>
      <c r="G130" s="24">
        <f t="shared" si="9"/>
        <v>-1.5446380508656654E-2</v>
      </c>
      <c r="H130" s="20"/>
      <c r="I130" s="20">
        <v>1794.82</v>
      </c>
      <c r="J130" s="24">
        <f t="shared" si="10"/>
        <v>1.1086449519474462E-2</v>
      </c>
      <c r="K130" s="20"/>
      <c r="L130" s="20">
        <v>2027.1</v>
      </c>
      <c r="M130" s="14">
        <f t="shared" si="11"/>
        <v>1.4544253368300897E-2</v>
      </c>
      <c r="N130" s="35"/>
    </row>
    <row r="131" spans="1:14" x14ac:dyDescent="0.2">
      <c r="A131" s="2">
        <v>40998</v>
      </c>
      <c r="B131" s="2"/>
      <c r="C131" s="21">
        <v>2430.67</v>
      </c>
      <c r="D131" s="24">
        <f t="shared" si="8"/>
        <v>3.2907960547842841E-2</v>
      </c>
      <c r="E131" s="20"/>
      <c r="F131" s="20">
        <v>3771.11</v>
      </c>
      <c r="G131" s="24">
        <f t="shared" si="9"/>
        <v>2.5622127335527267E-2</v>
      </c>
      <c r="H131" s="20"/>
      <c r="I131" s="20">
        <v>1775.14</v>
      </c>
      <c r="J131" s="24">
        <f t="shared" si="10"/>
        <v>-5.4792371646907867E-3</v>
      </c>
      <c r="K131" s="20"/>
      <c r="L131" s="20">
        <v>1998.04</v>
      </c>
      <c r="M131" s="14">
        <f t="shared" si="11"/>
        <v>-1.0033245965644144E-2</v>
      </c>
      <c r="N131" s="35"/>
    </row>
    <row r="132" spans="1:14" x14ac:dyDescent="0.2">
      <c r="A132" s="2">
        <v>40968</v>
      </c>
      <c r="B132" s="2"/>
      <c r="C132" s="21">
        <v>2353.23</v>
      </c>
      <c r="D132" s="24">
        <f t="shared" si="8"/>
        <v>4.3241757511005563E-2</v>
      </c>
      <c r="E132" s="20"/>
      <c r="F132" s="20">
        <v>3676.9</v>
      </c>
      <c r="G132" s="24">
        <f t="shared" si="9"/>
        <v>2.393231893421266E-2</v>
      </c>
      <c r="H132" s="20"/>
      <c r="I132" s="20">
        <v>1784.92</v>
      </c>
      <c r="J132" s="24">
        <f t="shared" si="10"/>
        <v>-2.2964942055525572E-4</v>
      </c>
      <c r="K132" s="20"/>
      <c r="L132" s="20">
        <v>2018.29</v>
      </c>
      <c r="M132" s="14">
        <f t="shared" si="11"/>
        <v>-7.123284975673605E-3</v>
      </c>
      <c r="N132" s="35"/>
    </row>
    <row r="133" spans="1:14" x14ac:dyDescent="0.2">
      <c r="A133" s="2">
        <v>40939</v>
      </c>
      <c r="B133" s="2"/>
      <c r="C133" s="21">
        <v>2255.69</v>
      </c>
      <c r="D133" s="24">
        <f t="shared" si="8"/>
        <v>4.4813658554661018E-2</v>
      </c>
      <c r="E133" s="20"/>
      <c r="F133" s="20">
        <v>3590.96</v>
      </c>
      <c r="G133" s="24">
        <f t="shared" si="9"/>
        <v>7.0653162352899201E-2</v>
      </c>
      <c r="H133" s="20"/>
      <c r="I133" s="20">
        <v>1785.33</v>
      </c>
      <c r="J133" s="24">
        <f t="shared" si="10"/>
        <v>8.7807027952468975E-3</v>
      </c>
      <c r="K133" s="20"/>
      <c r="L133" s="20">
        <v>2032.77</v>
      </c>
      <c r="M133" s="14">
        <f t="shared" si="11"/>
        <v>4.2288102519008053E-3</v>
      </c>
      <c r="N133" s="35"/>
    </row>
    <row r="134" spans="1:14" x14ac:dyDescent="0.2">
      <c r="A134" s="2">
        <v>40907</v>
      </c>
      <c r="B134" s="2"/>
      <c r="C134" s="21">
        <v>2158.94</v>
      </c>
      <c r="D134" s="24">
        <f t="shared" si="8"/>
        <v>1.0228910475976516E-2</v>
      </c>
      <c r="E134" s="20"/>
      <c r="F134" s="20">
        <v>3353.99</v>
      </c>
      <c r="G134" s="24">
        <f t="shared" si="9"/>
        <v>6.6056819068540662E-3</v>
      </c>
      <c r="H134" s="20"/>
      <c r="I134" s="20">
        <v>1769.79</v>
      </c>
      <c r="J134" s="24">
        <f t="shared" si="10"/>
        <v>1.0990831452971861E-2</v>
      </c>
      <c r="K134" s="20"/>
      <c r="L134" s="20">
        <v>2024.21</v>
      </c>
      <c r="M134" s="14">
        <f t="shared" si="11"/>
        <v>9.6616188823048788E-3</v>
      </c>
      <c r="N134" s="35"/>
    </row>
    <row r="135" spans="1:14" x14ac:dyDescent="0.2">
      <c r="A135" s="2">
        <v>40877</v>
      </c>
      <c r="B135" s="2"/>
      <c r="C135" s="21">
        <v>2137.08</v>
      </c>
      <c r="D135" s="24">
        <f t="shared" si="8"/>
        <v>-2.2084125109136377E-3</v>
      </c>
      <c r="E135" s="20"/>
      <c r="F135" s="20">
        <v>3331.98</v>
      </c>
      <c r="G135" s="24">
        <f t="shared" si="9"/>
        <v>-3.6451496185899712E-3</v>
      </c>
      <c r="H135" s="20"/>
      <c r="I135" s="20">
        <v>1750.55</v>
      </c>
      <c r="J135" s="24">
        <f t="shared" si="10"/>
        <v>-8.6754524647991715E-4</v>
      </c>
      <c r="K135" s="20"/>
      <c r="L135" s="20">
        <v>2004.84</v>
      </c>
      <c r="M135" s="14">
        <f t="shared" si="11"/>
        <v>7.4623490570304707E-3</v>
      </c>
      <c r="N135" s="35"/>
    </row>
    <row r="136" spans="1:14" x14ac:dyDescent="0.2">
      <c r="A136" s="2">
        <v>40847</v>
      </c>
      <c r="B136" s="2"/>
      <c r="C136" s="21">
        <v>2141.81</v>
      </c>
      <c r="D136" s="24">
        <f t="shared" si="8"/>
        <v>0.10929205144008414</v>
      </c>
      <c r="E136" s="20"/>
      <c r="F136" s="20">
        <v>3344.17</v>
      </c>
      <c r="G136" s="24">
        <f t="shared" si="9"/>
        <v>0.1513556316813276</v>
      </c>
      <c r="H136" s="20"/>
      <c r="I136" s="20">
        <v>1752.07</v>
      </c>
      <c r="J136" s="24">
        <f t="shared" si="10"/>
        <v>1.0741690902129619E-3</v>
      </c>
      <c r="K136" s="20"/>
      <c r="L136" s="20">
        <v>1989.99</v>
      </c>
      <c r="M136" s="14">
        <f t="shared" si="11"/>
        <v>-8.1541106985321132E-3</v>
      </c>
      <c r="N136" s="35"/>
    </row>
    <row r="137" spans="1:14" x14ac:dyDescent="0.2">
      <c r="A137" s="2">
        <v>40816</v>
      </c>
      <c r="B137" s="2"/>
      <c r="C137" s="21">
        <v>1930.79</v>
      </c>
      <c r="D137" s="24">
        <f t="shared" si="8"/>
        <v>-7.0296324117143039E-2</v>
      </c>
      <c r="E137" s="20"/>
      <c r="F137" s="20">
        <v>2904.55</v>
      </c>
      <c r="G137" s="24">
        <f t="shared" si="9"/>
        <v>-0.11210053618483395</v>
      </c>
      <c r="H137" s="20"/>
      <c r="I137" s="20">
        <v>1750.19</v>
      </c>
      <c r="J137" s="24">
        <f t="shared" si="10"/>
        <v>7.274610802566972E-3</v>
      </c>
      <c r="K137" s="20"/>
      <c r="L137" s="20">
        <v>2006.35</v>
      </c>
      <c r="M137" s="14">
        <f t="shared" si="11"/>
        <v>1.7465300140472761E-2</v>
      </c>
      <c r="N137" s="35"/>
    </row>
    <row r="138" spans="1:14" x14ac:dyDescent="0.2">
      <c r="A138" s="2">
        <v>40786</v>
      </c>
      <c r="B138" s="2"/>
      <c r="C138" s="21">
        <v>2076.7800000000002</v>
      </c>
      <c r="D138" s="24">
        <f t="shared" si="8"/>
        <v>-5.432406833995107E-2</v>
      </c>
      <c r="E138" s="20"/>
      <c r="F138" s="20">
        <v>3271.26</v>
      </c>
      <c r="G138" s="24">
        <f t="shared" si="9"/>
        <v>-8.7002754682541594E-2</v>
      </c>
      <c r="H138" s="20"/>
      <c r="I138" s="20">
        <v>1737.55</v>
      </c>
      <c r="J138" s="24">
        <f t="shared" si="10"/>
        <v>1.4609963037143903E-2</v>
      </c>
      <c r="K138" s="20"/>
      <c r="L138" s="20">
        <v>1971.91</v>
      </c>
      <c r="M138" s="14">
        <f t="shared" si="11"/>
        <v>2.7775171738020132E-2</v>
      </c>
      <c r="N138" s="35"/>
    </row>
    <row r="139" spans="1:14" x14ac:dyDescent="0.2">
      <c r="A139" s="2">
        <v>40753</v>
      </c>
      <c r="B139" s="2"/>
      <c r="C139" s="21">
        <v>2196.08</v>
      </c>
      <c r="D139" s="24">
        <f t="shared" si="8"/>
        <v>-2.0333145972181277E-2</v>
      </c>
      <c r="E139" s="20"/>
      <c r="F139" s="20">
        <v>3582.99</v>
      </c>
      <c r="G139" s="24">
        <f t="shared" si="9"/>
        <v>-3.6146620182064826E-2</v>
      </c>
      <c r="H139" s="20"/>
      <c r="I139" s="20">
        <v>1712.53</v>
      </c>
      <c r="J139" s="24">
        <f t="shared" si="10"/>
        <v>1.5868025483752435E-2</v>
      </c>
      <c r="K139" s="20"/>
      <c r="L139" s="20">
        <v>1918.62</v>
      </c>
      <c r="M139" s="14">
        <f t="shared" si="11"/>
        <v>1.8224467701190905E-2</v>
      </c>
      <c r="N139" s="35"/>
    </row>
    <row r="140" spans="1:14" x14ac:dyDescent="0.2">
      <c r="A140" s="2">
        <v>40724</v>
      </c>
      <c r="B140" s="2"/>
      <c r="C140" s="21">
        <v>2241.66</v>
      </c>
      <c r="D140" s="24">
        <f t="shared" si="8"/>
        <v>-1.6669152417465805E-2</v>
      </c>
      <c r="E140" s="20"/>
      <c r="F140" s="20">
        <v>3717.36</v>
      </c>
      <c r="G140" s="24">
        <f t="shared" si="9"/>
        <v>-2.3055959254577374E-2</v>
      </c>
      <c r="H140" s="20"/>
      <c r="I140" s="20">
        <v>1685.78</v>
      </c>
      <c r="J140" s="24">
        <f t="shared" si="10"/>
        <v>-2.9277294423118994E-3</v>
      </c>
      <c r="K140" s="20"/>
      <c r="L140" s="20">
        <v>1884.28</v>
      </c>
      <c r="M140" s="14">
        <f t="shared" si="11"/>
        <v>-3.3797542670058744E-3</v>
      </c>
      <c r="N140" s="35"/>
    </row>
    <row r="141" spans="1:14" x14ac:dyDescent="0.2">
      <c r="A141" s="2">
        <v>40694</v>
      </c>
      <c r="B141" s="2"/>
      <c r="C141" s="21">
        <v>2279.66</v>
      </c>
      <c r="D141" s="24">
        <f t="shared" si="8"/>
        <v>-1.1319478176393227E-2</v>
      </c>
      <c r="E141" s="20"/>
      <c r="F141" s="20">
        <v>3805.09</v>
      </c>
      <c r="G141" s="24">
        <f t="shared" si="9"/>
        <v>-1.8747791912403722E-2</v>
      </c>
      <c r="H141" s="20"/>
      <c r="I141" s="20">
        <v>1690.73</v>
      </c>
      <c r="J141" s="24">
        <f t="shared" si="10"/>
        <v>1.3050121333772813E-2</v>
      </c>
      <c r="K141" s="20"/>
      <c r="L141" s="20">
        <v>1890.67</v>
      </c>
      <c r="M141" s="14">
        <f t="shared" si="11"/>
        <v>1.5615599484314568E-2</v>
      </c>
      <c r="N141" s="35"/>
    </row>
    <row r="142" spans="1:14" x14ac:dyDescent="0.2">
      <c r="A142" s="2">
        <v>40662</v>
      </c>
      <c r="B142" s="2"/>
      <c r="C142" s="21">
        <v>2305.7600000000002</v>
      </c>
      <c r="D142" s="24">
        <f t="shared" si="8"/>
        <v>2.9614546493766269E-2</v>
      </c>
      <c r="E142" s="20"/>
      <c r="F142" s="20">
        <v>3877.79</v>
      </c>
      <c r="G142" s="24">
        <f t="shared" si="9"/>
        <v>2.6405295881716029E-2</v>
      </c>
      <c r="H142" s="20"/>
      <c r="I142" s="20">
        <v>1668.95</v>
      </c>
      <c r="J142" s="24">
        <f t="shared" si="10"/>
        <v>1.2693943678209862E-2</v>
      </c>
      <c r="K142" s="20"/>
      <c r="L142" s="20">
        <v>1861.6</v>
      </c>
      <c r="M142" s="14">
        <f t="shared" si="11"/>
        <v>1.1535723794671826E-2</v>
      </c>
      <c r="N142" s="35"/>
    </row>
    <row r="143" spans="1:14" x14ac:dyDescent="0.2">
      <c r="A143" s="2">
        <v>40633</v>
      </c>
      <c r="B143" s="2"/>
      <c r="C143" s="21">
        <v>2239.44</v>
      </c>
      <c r="D143" s="24">
        <f t="shared" si="8"/>
        <v>3.9757878984159056E-4</v>
      </c>
      <c r="E143" s="20"/>
      <c r="F143" s="20">
        <v>3778.03</v>
      </c>
      <c r="G143" s="24">
        <f t="shared" si="9"/>
        <v>2.5916542433450429E-2</v>
      </c>
      <c r="H143" s="20"/>
      <c r="I143" s="20">
        <v>1648.03</v>
      </c>
      <c r="J143" s="24">
        <f t="shared" si="10"/>
        <v>5.5247947933367847E-4</v>
      </c>
      <c r="K143" s="20"/>
      <c r="L143" s="20">
        <v>1840.37</v>
      </c>
      <c r="M143" s="14">
        <f t="shared" si="11"/>
        <v>-6.0820313984877306E-4</v>
      </c>
      <c r="N143" s="35"/>
    </row>
    <row r="144" spans="1:14" x14ac:dyDescent="0.2">
      <c r="A144" s="2">
        <v>40602</v>
      </c>
      <c r="B144" s="2"/>
      <c r="C144" s="21">
        <v>2238.5500000000002</v>
      </c>
      <c r="D144" s="24">
        <f t="shared" si="8"/>
        <v>3.425891702088335E-2</v>
      </c>
      <c r="E144" s="20"/>
      <c r="F144" s="20">
        <v>3682.59</v>
      </c>
      <c r="G144" s="24">
        <f t="shared" si="9"/>
        <v>5.4841842039683453E-2</v>
      </c>
      <c r="H144" s="20"/>
      <c r="I144" s="20">
        <v>1647.12</v>
      </c>
      <c r="J144" s="24">
        <f t="shared" si="10"/>
        <v>2.5015063815800875E-3</v>
      </c>
      <c r="K144" s="20"/>
      <c r="L144" s="20">
        <v>1841.49</v>
      </c>
      <c r="M144" s="14">
        <f t="shared" si="11"/>
        <v>-7.4340970013997421E-4</v>
      </c>
      <c r="N144" s="35"/>
    </row>
    <row r="145" spans="1:14" x14ac:dyDescent="0.2">
      <c r="A145" s="2">
        <v>40574</v>
      </c>
      <c r="B145" s="2"/>
      <c r="C145" s="21">
        <v>2164.4</v>
      </c>
      <c r="D145" s="24">
        <f t="shared" si="8"/>
        <v>2.3700627633862936E-2</v>
      </c>
      <c r="E145" s="20"/>
      <c r="F145" s="20">
        <v>3491.13</v>
      </c>
      <c r="G145" s="24">
        <f t="shared" si="9"/>
        <v>-2.5770324128965294E-3</v>
      </c>
      <c r="H145" s="20"/>
      <c r="I145" s="20">
        <v>1643.01</v>
      </c>
      <c r="J145" s="24">
        <f t="shared" si="10"/>
        <v>1.1638535128877248E-3</v>
      </c>
      <c r="K145" s="20"/>
      <c r="L145" s="20">
        <v>1842.86</v>
      </c>
      <c r="M145" s="14">
        <f t="shared" si="11"/>
        <v>-2.4954972549529053E-4</v>
      </c>
      <c r="N145" s="35"/>
    </row>
    <row r="146" spans="1:14" x14ac:dyDescent="0.2">
      <c r="A146" s="2">
        <v>40543</v>
      </c>
      <c r="B146" s="2"/>
      <c r="C146" s="21">
        <v>2114.29</v>
      </c>
      <c r="D146" s="24">
        <f t="shared" si="8"/>
        <v>6.6831833044039834E-2</v>
      </c>
      <c r="E146" s="20"/>
      <c r="F146" s="20">
        <v>3500.15</v>
      </c>
      <c r="G146" s="24">
        <f t="shared" si="9"/>
        <v>7.940703003090066E-2</v>
      </c>
      <c r="H146" s="20"/>
      <c r="I146" s="20">
        <v>1641.1</v>
      </c>
      <c r="J146" s="24">
        <f t="shared" si="10"/>
        <v>-1.0783669582095201E-2</v>
      </c>
      <c r="K146" s="20"/>
      <c r="L146" s="20">
        <v>1843.32</v>
      </c>
      <c r="M146" s="14">
        <f t="shared" si="11"/>
        <v>-1.7990613129897914E-2</v>
      </c>
      <c r="N146" s="35"/>
    </row>
    <row r="147" spans="1:14" x14ac:dyDescent="0.2">
      <c r="A147" s="2">
        <v>40512</v>
      </c>
      <c r="B147" s="2"/>
      <c r="C147" s="21">
        <v>1981.84</v>
      </c>
      <c r="D147" s="24">
        <f t="shared" ref="D147:D210" si="12">C147/C148-1</f>
        <v>1.2616131490372773E-4</v>
      </c>
      <c r="E147" s="20"/>
      <c r="F147" s="20">
        <v>3242.66</v>
      </c>
      <c r="G147" s="24">
        <f t="shared" ref="G147:G210" si="13">F147/F148-1</f>
        <v>3.4674647972712025E-2</v>
      </c>
      <c r="H147" s="20"/>
      <c r="I147" s="20">
        <v>1658.99</v>
      </c>
      <c r="J147" s="24">
        <f t="shared" ref="J147:J210" si="14">I147/I148-1</f>
        <v>-5.7474019825239919E-3</v>
      </c>
      <c r="K147" s="20"/>
      <c r="L147" s="20">
        <v>1877.09</v>
      </c>
      <c r="M147" s="14">
        <f t="shared" ref="M147:M210" si="15">L147/L148-1</f>
        <v>-6.9883087340634198E-3</v>
      </c>
      <c r="N147" s="35"/>
    </row>
    <row r="148" spans="1:14" x14ac:dyDescent="0.2">
      <c r="A148" s="2">
        <v>40480</v>
      </c>
      <c r="B148" s="2"/>
      <c r="C148" s="21">
        <v>1981.59</v>
      </c>
      <c r="D148" s="24">
        <f t="shared" si="12"/>
        <v>3.8052332434060476E-2</v>
      </c>
      <c r="E148" s="20"/>
      <c r="F148" s="20">
        <v>3133.99</v>
      </c>
      <c r="G148" s="24">
        <f t="shared" si="13"/>
        <v>4.0922950198951646E-2</v>
      </c>
      <c r="H148" s="20"/>
      <c r="I148" s="20">
        <v>1668.58</v>
      </c>
      <c r="J148" s="24">
        <f t="shared" si="14"/>
        <v>3.5605595852428173E-3</v>
      </c>
      <c r="K148" s="20"/>
      <c r="L148" s="20">
        <v>1890.3</v>
      </c>
      <c r="M148" s="14">
        <f t="shared" si="15"/>
        <v>-1.5792614971821273E-3</v>
      </c>
      <c r="N148" s="35"/>
    </row>
    <row r="149" spans="1:14" x14ac:dyDescent="0.2">
      <c r="A149" s="2">
        <v>40451</v>
      </c>
      <c r="B149" s="2"/>
      <c r="C149" s="21">
        <v>1908.95</v>
      </c>
      <c r="D149" s="24">
        <f t="shared" si="12"/>
        <v>8.924139111580276E-2</v>
      </c>
      <c r="E149" s="20"/>
      <c r="F149" s="20">
        <v>3010.78</v>
      </c>
      <c r="G149" s="24">
        <f t="shared" si="13"/>
        <v>0.12459612805868803</v>
      </c>
      <c r="H149" s="20"/>
      <c r="I149" s="20">
        <v>1662.66</v>
      </c>
      <c r="J149" s="24">
        <f t="shared" si="14"/>
        <v>1.065693694344505E-3</v>
      </c>
      <c r="K149" s="20"/>
      <c r="L149" s="20">
        <v>1893.29</v>
      </c>
      <c r="M149" s="14">
        <f t="shared" si="15"/>
        <v>2.1131708657118331E-4</v>
      </c>
      <c r="N149" s="35"/>
    </row>
    <row r="150" spans="1:14" x14ac:dyDescent="0.2">
      <c r="A150" s="2">
        <v>40421</v>
      </c>
      <c r="B150" s="2"/>
      <c r="C150" s="21">
        <v>1752.55</v>
      </c>
      <c r="D150" s="24">
        <f t="shared" si="12"/>
        <v>-4.5140023972976007E-2</v>
      </c>
      <c r="E150" s="20"/>
      <c r="F150" s="20">
        <v>2677.21</v>
      </c>
      <c r="G150" s="24">
        <f t="shared" si="13"/>
        <v>-7.4039871613956532E-2</v>
      </c>
      <c r="H150" s="20"/>
      <c r="I150" s="20">
        <v>1660.89</v>
      </c>
      <c r="J150" s="24">
        <f t="shared" si="14"/>
        <v>1.2867501326389474E-2</v>
      </c>
      <c r="K150" s="20"/>
      <c r="L150" s="20">
        <v>1892.89</v>
      </c>
      <c r="M150" s="14">
        <f t="shared" si="15"/>
        <v>2.00794339388779E-2</v>
      </c>
      <c r="N150" s="35"/>
    </row>
    <row r="151" spans="1:14" x14ac:dyDescent="0.2">
      <c r="A151" s="2">
        <v>40389</v>
      </c>
      <c r="B151" s="2"/>
      <c r="C151" s="21">
        <v>1835.4</v>
      </c>
      <c r="D151" s="24">
        <f t="shared" si="12"/>
        <v>7.0060574966622546E-2</v>
      </c>
      <c r="E151" s="20"/>
      <c r="F151" s="20">
        <v>2891.28</v>
      </c>
      <c r="G151" s="24">
        <f t="shared" si="13"/>
        <v>6.8718881336009563E-2</v>
      </c>
      <c r="H151" s="20"/>
      <c r="I151" s="20">
        <v>1639.79</v>
      </c>
      <c r="J151" s="24">
        <f t="shared" si="14"/>
        <v>1.0668852620679514E-2</v>
      </c>
      <c r="K151" s="20"/>
      <c r="L151" s="20">
        <v>1855.63</v>
      </c>
      <c r="M151" s="14">
        <f t="shared" si="15"/>
        <v>6.8201794841189489E-3</v>
      </c>
      <c r="N151" s="35"/>
    </row>
    <row r="152" spans="1:14" x14ac:dyDescent="0.2">
      <c r="A152" s="2">
        <v>40359</v>
      </c>
      <c r="B152" s="2"/>
      <c r="C152" s="21">
        <v>1715.23</v>
      </c>
      <c r="D152" s="24">
        <f t="shared" si="12"/>
        <v>-5.234864473640588E-2</v>
      </c>
      <c r="E152" s="20"/>
      <c r="F152" s="20">
        <v>2705.37</v>
      </c>
      <c r="G152" s="24">
        <f t="shared" si="13"/>
        <v>-7.7493580847225907E-2</v>
      </c>
      <c r="H152" s="20"/>
      <c r="I152" s="20">
        <v>1622.48</v>
      </c>
      <c r="J152" s="24">
        <f t="shared" si="14"/>
        <v>1.56814383102859E-2</v>
      </c>
      <c r="K152" s="20"/>
      <c r="L152" s="20">
        <v>1843.06</v>
      </c>
      <c r="M152" s="14">
        <f t="shared" si="15"/>
        <v>1.8569075856885497E-2</v>
      </c>
      <c r="N152" s="35"/>
    </row>
    <row r="153" spans="1:14" x14ac:dyDescent="0.2">
      <c r="A153" s="2">
        <v>40329</v>
      </c>
      <c r="B153" s="2"/>
      <c r="C153" s="21">
        <v>1809.98</v>
      </c>
      <c r="D153" s="24">
        <f t="shared" si="12"/>
        <v>-7.985053760707661E-2</v>
      </c>
      <c r="E153" s="20"/>
      <c r="F153" s="20">
        <v>2932.63</v>
      </c>
      <c r="G153" s="24">
        <f t="shared" si="13"/>
        <v>-7.5853832239848207E-2</v>
      </c>
      <c r="H153" s="20"/>
      <c r="I153" s="20">
        <v>1597.43</v>
      </c>
      <c r="J153" s="24">
        <f t="shared" si="14"/>
        <v>8.4148727984345584E-3</v>
      </c>
      <c r="K153" s="20"/>
      <c r="L153" s="20">
        <v>1809.46</v>
      </c>
      <c r="M153" s="14">
        <f t="shared" si="15"/>
        <v>1.7104826787631477E-2</v>
      </c>
      <c r="N153" s="35"/>
    </row>
    <row r="154" spans="1:14" x14ac:dyDescent="0.2">
      <c r="A154" s="2">
        <v>40298</v>
      </c>
      <c r="B154" s="2"/>
      <c r="C154" s="21">
        <v>1967.05</v>
      </c>
      <c r="D154" s="24">
        <f t="shared" si="12"/>
        <v>1.5786375278856513E-2</v>
      </c>
      <c r="E154" s="20"/>
      <c r="F154" s="20">
        <v>3173.34</v>
      </c>
      <c r="G154" s="24">
        <f t="shared" si="13"/>
        <v>5.6596611794789808E-2</v>
      </c>
      <c r="H154" s="20"/>
      <c r="I154" s="20">
        <v>1584.1</v>
      </c>
      <c r="J154" s="24">
        <f t="shared" si="14"/>
        <v>1.0409623799257472E-2</v>
      </c>
      <c r="K154" s="20"/>
      <c r="L154" s="20">
        <v>1779.03</v>
      </c>
      <c r="M154" s="14">
        <f t="shared" si="15"/>
        <v>1.0479501073509923E-2</v>
      </c>
      <c r="N154" s="35"/>
    </row>
    <row r="155" spans="1:14" x14ac:dyDescent="0.2">
      <c r="A155" s="2">
        <v>40268</v>
      </c>
      <c r="B155" s="2"/>
      <c r="C155" s="21">
        <v>1936.48</v>
      </c>
      <c r="D155" s="24">
        <f t="shared" si="12"/>
        <v>6.034704616513431E-2</v>
      </c>
      <c r="E155" s="20"/>
      <c r="F155" s="20">
        <v>3003.36</v>
      </c>
      <c r="G155" s="24">
        <f t="shared" si="13"/>
        <v>8.1387812711534835E-2</v>
      </c>
      <c r="H155" s="20"/>
      <c r="I155" s="20">
        <v>1567.78</v>
      </c>
      <c r="J155" s="24">
        <f t="shared" si="14"/>
        <v>-1.2295264730428634E-3</v>
      </c>
      <c r="K155" s="20"/>
      <c r="L155" s="20">
        <v>1760.58</v>
      </c>
      <c r="M155" s="14">
        <f t="shared" si="15"/>
        <v>-8.4702808033250143E-3</v>
      </c>
      <c r="N155" s="35"/>
    </row>
    <row r="156" spans="1:14" x14ac:dyDescent="0.2">
      <c r="A156" s="2">
        <v>40235</v>
      </c>
      <c r="B156" s="2"/>
      <c r="C156" s="21">
        <v>1826.27</v>
      </c>
      <c r="D156" s="24">
        <f t="shared" si="12"/>
        <v>3.0975499604832368E-2</v>
      </c>
      <c r="E156" s="20"/>
      <c r="F156" s="20">
        <v>2777.32</v>
      </c>
      <c r="G156" s="24">
        <f t="shared" si="13"/>
        <v>4.50442314711339E-2</v>
      </c>
      <c r="H156" s="20"/>
      <c r="I156" s="20">
        <v>1569.71</v>
      </c>
      <c r="J156" s="24">
        <f t="shared" si="14"/>
        <v>3.734325743188549E-3</v>
      </c>
      <c r="K156" s="20"/>
      <c r="L156" s="20">
        <v>1775.62</v>
      </c>
      <c r="M156" s="14">
        <f t="shared" si="15"/>
        <v>3.9522115988079864E-3</v>
      </c>
      <c r="N156" s="35"/>
    </row>
    <row r="157" spans="1:14" x14ac:dyDescent="0.2">
      <c r="A157" s="2">
        <v>40207</v>
      </c>
      <c r="B157" s="2"/>
      <c r="C157" s="21">
        <v>1771.4</v>
      </c>
      <c r="D157" s="24">
        <f t="shared" si="12"/>
        <v>-3.5972789115646164E-2</v>
      </c>
      <c r="E157" s="20"/>
      <c r="F157" s="20">
        <v>2657.61</v>
      </c>
      <c r="G157" s="24">
        <f t="shared" si="13"/>
        <v>-3.681166143564385E-2</v>
      </c>
      <c r="H157" s="20"/>
      <c r="I157" s="20">
        <v>1563.87</v>
      </c>
      <c r="J157" s="24">
        <f t="shared" si="14"/>
        <v>1.5275848189360675E-2</v>
      </c>
      <c r="K157" s="20"/>
      <c r="L157" s="20">
        <v>1768.63</v>
      </c>
      <c r="M157" s="14">
        <f t="shared" si="15"/>
        <v>1.5806008810471672E-2</v>
      </c>
      <c r="N157" s="35"/>
    </row>
    <row r="158" spans="1:14" x14ac:dyDescent="0.2">
      <c r="A158" s="2">
        <v>40178</v>
      </c>
      <c r="B158" s="2"/>
      <c r="C158" s="21">
        <v>1837.5</v>
      </c>
      <c r="D158" s="24">
        <f t="shared" si="12"/>
        <v>1.9315685534870175E-2</v>
      </c>
      <c r="E158" s="20"/>
      <c r="F158" s="20">
        <v>2759.18</v>
      </c>
      <c r="G158" s="24">
        <f t="shared" si="13"/>
        <v>8.0497489837955571E-2</v>
      </c>
      <c r="H158" s="20"/>
      <c r="I158" s="20">
        <v>1540.34</v>
      </c>
      <c r="J158" s="24">
        <f t="shared" si="14"/>
        <v>-1.5631390593047079E-2</v>
      </c>
      <c r="K158" s="20"/>
      <c r="L158" s="20">
        <v>1741.11</v>
      </c>
      <c r="M158" s="14">
        <f t="shared" si="15"/>
        <v>-2.6121343990692547E-2</v>
      </c>
      <c r="N158" s="35"/>
    </row>
    <row r="159" spans="1:14" x14ac:dyDescent="0.2">
      <c r="A159" s="2">
        <v>40147</v>
      </c>
      <c r="B159" s="2"/>
      <c r="C159" s="21">
        <v>1802.68</v>
      </c>
      <c r="D159" s="24">
        <f t="shared" si="12"/>
        <v>5.9982242292743404E-2</v>
      </c>
      <c r="E159" s="20"/>
      <c r="F159" s="20">
        <v>2553.62</v>
      </c>
      <c r="G159" s="24">
        <f t="shared" si="13"/>
        <v>3.1390605436406815E-2</v>
      </c>
      <c r="H159" s="20"/>
      <c r="I159" s="20">
        <v>1564.8</v>
      </c>
      <c r="J159" s="24">
        <f t="shared" si="14"/>
        <v>1.2946659761781554E-2</v>
      </c>
      <c r="K159" s="20"/>
      <c r="L159" s="20">
        <v>1787.81</v>
      </c>
      <c r="M159" s="14">
        <f t="shared" si="15"/>
        <v>1.3923074305547622E-2</v>
      </c>
      <c r="N159" s="35"/>
    </row>
    <row r="160" spans="1:14" x14ac:dyDescent="0.2">
      <c r="A160" s="2">
        <v>40116</v>
      </c>
      <c r="B160" s="2"/>
      <c r="C160" s="21">
        <v>1700.67</v>
      </c>
      <c r="D160" s="24">
        <f t="shared" si="12"/>
        <v>-1.8576226584951949E-2</v>
      </c>
      <c r="E160" s="20"/>
      <c r="F160" s="20">
        <v>2475.9</v>
      </c>
      <c r="G160" s="24">
        <f t="shared" si="13"/>
        <v>-6.7896470588235225E-2</v>
      </c>
      <c r="H160" s="20"/>
      <c r="I160" s="20">
        <v>1544.8</v>
      </c>
      <c r="J160" s="24">
        <f t="shared" si="14"/>
        <v>4.9375166698109041E-3</v>
      </c>
      <c r="K160" s="20"/>
      <c r="L160" s="20">
        <v>1763.26</v>
      </c>
      <c r="M160" s="14">
        <f t="shared" si="15"/>
        <v>-4.874951817336326E-4</v>
      </c>
      <c r="N160" s="35"/>
    </row>
    <row r="161" spans="1:14" x14ac:dyDescent="0.2">
      <c r="A161" s="2">
        <v>40086</v>
      </c>
      <c r="B161" s="2"/>
      <c r="C161" s="21">
        <v>1732.86</v>
      </c>
      <c r="D161" s="24">
        <f t="shared" si="12"/>
        <v>3.7317721428058226E-2</v>
      </c>
      <c r="E161" s="20"/>
      <c r="F161" s="20">
        <v>2656.25</v>
      </c>
      <c r="G161" s="24">
        <f t="shared" si="13"/>
        <v>5.7676992912319758E-2</v>
      </c>
      <c r="H161" s="20"/>
      <c r="I161" s="20">
        <v>1537.21</v>
      </c>
      <c r="J161" s="24">
        <f t="shared" si="14"/>
        <v>1.0504657415381091E-2</v>
      </c>
      <c r="K161" s="20"/>
      <c r="L161" s="20">
        <v>1764.12</v>
      </c>
      <c r="M161" s="14">
        <f t="shared" si="15"/>
        <v>7.7806341045414396E-3</v>
      </c>
      <c r="N161" s="35"/>
    </row>
    <row r="162" spans="1:14" x14ac:dyDescent="0.2">
      <c r="A162" s="2">
        <v>40056</v>
      </c>
      <c r="B162" s="2"/>
      <c r="C162" s="21">
        <v>1670.52</v>
      </c>
      <c r="D162" s="24">
        <f t="shared" si="12"/>
        <v>3.6103478859524474E-2</v>
      </c>
      <c r="E162" s="20"/>
      <c r="F162" s="20">
        <v>2511.4</v>
      </c>
      <c r="G162" s="24">
        <f t="shared" si="13"/>
        <v>2.8676286869365519E-2</v>
      </c>
      <c r="H162" s="20"/>
      <c r="I162" s="20">
        <v>1521.23</v>
      </c>
      <c r="J162" s="24">
        <f t="shared" si="14"/>
        <v>1.0354400786376505E-2</v>
      </c>
      <c r="K162" s="20"/>
      <c r="L162" s="20">
        <v>1750.5</v>
      </c>
      <c r="M162" s="14">
        <f t="shared" si="15"/>
        <v>8.9046425175067778E-3</v>
      </c>
      <c r="N162" s="35"/>
    </row>
    <row r="163" spans="1:14" x14ac:dyDescent="0.2">
      <c r="A163" s="2">
        <v>40025</v>
      </c>
      <c r="B163" s="2"/>
      <c r="C163" s="21">
        <v>1612.31</v>
      </c>
      <c r="D163" s="24">
        <f t="shared" si="12"/>
        <v>7.563344763632962E-2</v>
      </c>
      <c r="E163" s="20"/>
      <c r="F163" s="20">
        <v>2441.39</v>
      </c>
      <c r="G163" s="24">
        <f t="shared" si="13"/>
        <v>9.630790508864262E-2</v>
      </c>
      <c r="H163" s="20"/>
      <c r="I163" s="20">
        <v>1505.64</v>
      </c>
      <c r="J163" s="24">
        <f t="shared" si="14"/>
        <v>1.6129685369903113E-2</v>
      </c>
      <c r="K163" s="20"/>
      <c r="L163" s="20">
        <v>1735.05</v>
      </c>
      <c r="M163" s="14">
        <f t="shared" si="15"/>
        <v>4.1844636594090545E-3</v>
      </c>
      <c r="N163" s="35"/>
    </row>
    <row r="164" spans="1:14" x14ac:dyDescent="0.2">
      <c r="A164" s="2">
        <v>39994</v>
      </c>
      <c r="B164" s="2"/>
      <c r="C164" s="21">
        <v>1498.94</v>
      </c>
      <c r="D164" s="24">
        <f t="shared" si="12"/>
        <v>1.9853339304933826E-3</v>
      </c>
      <c r="E164" s="20"/>
      <c r="F164" s="20">
        <v>2226.92</v>
      </c>
      <c r="G164" s="24">
        <f t="shared" si="13"/>
        <v>1.4690068711611826E-2</v>
      </c>
      <c r="H164" s="20"/>
      <c r="I164" s="20">
        <v>1481.74</v>
      </c>
      <c r="J164" s="24">
        <f t="shared" si="14"/>
        <v>5.6876798609981627E-3</v>
      </c>
      <c r="K164" s="20"/>
      <c r="L164" s="20">
        <v>1727.82</v>
      </c>
      <c r="M164" s="14">
        <f t="shared" si="15"/>
        <v>-2.1195617647229437E-3</v>
      </c>
      <c r="N164" s="35"/>
    </row>
    <row r="165" spans="1:14" x14ac:dyDescent="0.2">
      <c r="A165" s="2">
        <v>39962</v>
      </c>
      <c r="B165" s="2"/>
      <c r="C165" s="21">
        <v>1495.97</v>
      </c>
      <c r="D165" s="24">
        <f t="shared" si="12"/>
        <v>5.5931617174761694E-2</v>
      </c>
      <c r="E165" s="20"/>
      <c r="F165" s="20">
        <v>2194.6799999999998</v>
      </c>
      <c r="G165" s="24">
        <f t="shared" si="13"/>
        <v>3.0148560163345772E-2</v>
      </c>
      <c r="H165" s="20"/>
      <c r="I165" s="20">
        <v>1473.36</v>
      </c>
      <c r="J165" s="24">
        <f t="shared" si="14"/>
        <v>7.253460946846646E-3</v>
      </c>
      <c r="K165" s="20"/>
      <c r="L165" s="20">
        <v>1731.49</v>
      </c>
      <c r="M165" s="14">
        <f t="shared" si="15"/>
        <v>-1.0090673130795702E-2</v>
      </c>
      <c r="N165" s="35"/>
    </row>
    <row r="166" spans="1:14" x14ac:dyDescent="0.2">
      <c r="A166" s="2">
        <v>39933</v>
      </c>
      <c r="B166" s="2"/>
      <c r="C166" s="21">
        <v>1416.73</v>
      </c>
      <c r="D166" s="24">
        <f t="shared" si="12"/>
        <v>9.570913703228201E-2</v>
      </c>
      <c r="E166" s="20"/>
      <c r="F166" s="20">
        <v>2130.4499999999998</v>
      </c>
      <c r="G166" s="24">
        <f t="shared" si="13"/>
        <v>0.15458403108589258</v>
      </c>
      <c r="H166" s="20"/>
      <c r="I166" s="20">
        <v>1462.75</v>
      </c>
      <c r="J166" s="24">
        <f t="shared" si="14"/>
        <v>4.7809093344506337E-3</v>
      </c>
      <c r="K166" s="20"/>
      <c r="L166" s="20">
        <v>1749.14</v>
      </c>
      <c r="M166" s="14">
        <f t="shared" si="15"/>
        <v>-1.8241620080375331E-2</v>
      </c>
      <c r="N166" s="35"/>
    </row>
    <row r="167" spans="1:14" x14ac:dyDescent="0.2">
      <c r="A167" s="2">
        <v>39903</v>
      </c>
      <c r="B167" s="2"/>
      <c r="C167" s="21">
        <v>1292.98</v>
      </c>
      <c r="D167" s="24">
        <f t="shared" si="12"/>
        <v>8.7597994683893621E-2</v>
      </c>
      <c r="E167" s="20"/>
      <c r="F167" s="20">
        <v>1845.21</v>
      </c>
      <c r="G167" s="24">
        <f t="shared" si="13"/>
        <v>8.9262101534828719E-2</v>
      </c>
      <c r="H167" s="20"/>
      <c r="I167" s="20">
        <v>1455.79</v>
      </c>
      <c r="J167" s="24">
        <f t="shared" si="14"/>
        <v>1.3901367153493105E-2</v>
      </c>
      <c r="K167" s="20"/>
      <c r="L167" s="20">
        <v>1781.64</v>
      </c>
      <c r="M167" s="14">
        <f t="shared" si="15"/>
        <v>2.1787629398101638E-2</v>
      </c>
      <c r="N167" s="35"/>
    </row>
    <row r="168" spans="1:14" x14ac:dyDescent="0.2">
      <c r="A168" s="2">
        <v>39871</v>
      </c>
      <c r="B168" s="2"/>
      <c r="C168" s="21">
        <v>1188.8399999999999</v>
      </c>
      <c r="D168" s="24">
        <f t="shared" si="12"/>
        <v>-0.10647796709532442</v>
      </c>
      <c r="E168" s="20"/>
      <c r="F168" s="20">
        <v>1694</v>
      </c>
      <c r="G168" s="24">
        <f t="shared" si="13"/>
        <v>-0.12151965690519773</v>
      </c>
      <c r="H168" s="20"/>
      <c r="I168" s="20">
        <v>1435.83</v>
      </c>
      <c r="J168" s="24">
        <f t="shared" si="14"/>
        <v>-3.7744489235188583E-3</v>
      </c>
      <c r="K168" s="20"/>
      <c r="L168" s="20">
        <v>1743.65</v>
      </c>
      <c r="M168" s="14">
        <f t="shared" si="15"/>
        <v>-5.2599451185768586E-3</v>
      </c>
      <c r="N168" s="35"/>
    </row>
    <row r="169" spans="1:14" x14ac:dyDescent="0.2">
      <c r="A169" s="2">
        <v>39843</v>
      </c>
      <c r="B169" s="2"/>
      <c r="C169" s="21">
        <v>1330.51</v>
      </c>
      <c r="D169" s="24">
        <f t="shared" si="12"/>
        <v>-8.4288840864981007E-2</v>
      </c>
      <c r="E169" s="20"/>
      <c r="F169" s="20">
        <v>1928.33</v>
      </c>
      <c r="G169" s="24">
        <f t="shared" si="13"/>
        <v>-0.11122531283847636</v>
      </c>
      <c r="H169" s="20"/>
      <c r="I169" s="20">
        <v>1441.27</v>
      </c>
      <c r="J169" s="24">
        <f t="shared" si="14"/>
        <v>-8.8233271439377425E-3</v>
      </c>
      <c r="K169" s="20"/>
      <c r="L169" s="20">
        <v>1752.87</v>
      </c>
      <c r="M169" s="14">
        <f t="shared" si="15"/>
        <v>-2.9160574239000425E-2</v>
      </c>
      <c r="N169" s="35"/>
    </row>
    <row r="170" spans="1:14" x14ac:dyDescent="0.2">
      <c r="A170" s="2">
        <v>39813</v>
      </c>
      <c r="B170" s="2"/>
      <c r="C170" s="21">
        <v>1452.98</v>
      </c>
      <c r="D170" s="24">
        <f t="shared" si="12"/>
        <v>1.0642145679149673E-2</v>
      </c>
      <c r="E170" s="20"/>
      <c r="F170" s="20">
        <v>2169.65</v>
      </c>
      <c r="G170" s="24">
        <f t="shared" si="13"/>
        <v>5.8040699687413211E-2</v>
      </c>
      <c r="H170" s="20"/>
      <c r="I170" s="20">
        <v>1454.1</v>
      </c>
      <c r="J170" s="24">
        <f t="shared" si="14"/>
        <v>3.7309173919246597E-2</v>
      </c>
      <c r="K170" s="20"/>
      <c r="L170" s="20">
        <v>1805.52</v>
      </c>
      <c r="M170" s="14">
        <f t="shared" si="15"/>
        <v>3.3876176733319552E-2</v>
      </c>
      <c r="N170" s="35"/>
    </row>
    <row r="171" spans="1:14" x14ac:dyDescent="0.2">
      <c r="A171" s="2">
        <v>39780</v>
      </c>
      <c r="B171" s="2"/>
      <c r="C171" s="21">
        <v>1437.68</v>
      </c>
      <c r="D171" s="24">
        <f t="shared" si="12"/>
        <v>-7.1751861106268633E-2</v>
      </c>
      <c r="E171" s="20"/>
      <c r="F171" s="20">
        <v>2050.63</v>
      </c>
      <c r="G171" s="24">
        <f t="shared" si="13"/>
        <v>-0.11828544156028431</v>
      </c>
      <c r="H171" s="20"/>
      <c r="I171" s="20">
        <v>1401.8</v>
      </c>
      <c r="J171" s="24">
        <f t="shared" si="14"/>
        <v>3.254984863105026E-2</v>
      </c>
      <c r="K171" s="20"/>
      <c r="L171" s="20">
        <v>1746.36</v>
      </c>
      <c r="M171" s="14">
        <f t="shared" si="15"/>
        <v>5.3070823408809975E-2</v>
      </c>
      <c r="N171" s="35"/>
    </row>
    <row r="172" spans="1:14" x14ac:dyDescent="0.2">
      <c r="A172" s="2">
        <v>39752</v>
      </c>
      <c r="B172" s="2"/>
      <c r="C172" s="21">
        <v>1548.81</v>
      </c>
      <c r="D172" s="24">
        <f t="shared" si="12"/>
        <v>-0.16795061887570917</v>
      </c>
      <c r="E172" s="20"/>
      <c r="F172" s="20">
        <v>2325.73</v>
      </c>
      <c r="G172" s="24">
        <f t="shared" si="13"/>
        <v>-0.20802756901618524</v>
      </c>
      <c r="H172" s="20"/>
      <c r="I172" s="20">
        <v>1357.61</v>
      </c>
      <c r="J172" s="24">
        <f t="shared" si="14"/>
        <v>-2.3604208769948953E-2</v>
      </c>
      <c r="K172" s="20"/>
      <c r="L172" s="20">
        <v>1658.35</v>
      </c>
      <c r="M172" s="14">
        <f t="shared" si="15"/>
        <v>-1.1022901131203522E-3</v>
      </c>
      <c r="N172" s="35"/>
    </row>
    <row r="173" spans="1:14" x14ac:dyDescent="0.2">
      <c r="A173" s="2">
        <v>39721</v>
      </c>
      <c r="B173" s="2"/>
      <c r="C173" s="21">
        <v>1861.44</v>
      </c>
      <c r="D173" s="24">
        <f t="shared" si="12"/>
        <v>-8.9105616262056264E-2</v>
      </c>
      <c r="E173" s="20"/>
      <c r="F173" s="20">
        <v>2936.63</v>
      </c>
      <c r="G173" s="24">
        <f t="shared" si="13"/>
        <v>-7.9683097819103654E-2</v>
      </c>
      <c r="H173" s="20"/>
      <c r="I173" s="20">
        <v>1390.43</v>
      </c>
      <c r="J173" s="24">
        <f t="shared" si="14"/>
        <v>-1.3431628540614082E-2</v>
      </c>
      <c r="K173" s="20"/>
      <c r="L173" s="20">
        <v>1660.18</v>
      </c>
      <c r="M173" s="14">
        <f t="shared" si="15"/>
        <v>6.1209153495589419E-3</v>
      </c>
      <c r="N173" s="35"/>
    </row>
    <row r="174" spans="1:14" x14ac:dyDescent="0.2">
      <c r="A174" s="2">
        <v>39689</v>
      </c>
      <c r="B174" s="2"/>
      <c r="C174" s="21">
        <v>2043.53</v>
      </c>
      <c r="D174" s="24">
        <f t="shared" si="12"/>
        <v>1.4465917721990129E-2</v>
      </c>
      <c r="E174" s="20"/>
      <c r="F174" s="20">
        <v>3190.89</v>
      </c>
      <c r="G174" s="24">
        <f t="shared" si="13"/>
        <v>3.6144539190409164E-2</v>
      </c>
      <c r="H174" s="20"/>
      <c r="I174" s="20">
        <v>1409.36</v>
      </c>
      <c r="J174" s="24">
        <f t="shared" si="14"/>
        <v>9.4906561803869138E-3</v>
      </c>
      <c r="K174" s="20"/>
      <c r="L174" s="20">
        <v>1650.08</v>
      </c>
      <c r="M174" s="14">
        <f t="shared" si="15"/>
        <v>1.2492943573129134E-2</v>
      </c>
      <c r="N174" s="35"/>
    </row>
    <row r="175" spans="1:14" x14ac:dyDescent="0.2">
      <c r="A175" s="2">
        <v>39660</v>
      </c>
      <c r="B175" s="2"/>
      <c r="C175" s="21">
        <v>2014.39</v>
      </c>
      <c r="D175" s="24">
        <f t="shared" si="12"/>
        <v>-8.4077047655145565E-3</v>
      </c>
      <c r="E175" s="20"/>
      <c r="F175" s="20">
        <v>3079.58</v>
      </c>
      <c r="G175" s="24">
        <f t="shared" si="13"/>
        <v>3.7007354327738939E-2</v>
      </c>
      <c r="H175" s="20"/>
      <c r="I175" s="20">
        <v>1396.11</v>
      </c>
      <c r="J175" s="24">
        <f t="shared" si="14"/>
        <v>-8.1588835212031974E-4</v>
      </c>
      <c r="K175" s="20"/>
      <c r="L175" s="20">
        <v>1629.72</v>
      </c>
      <c r="M175" s="14">
        <f t="shared" si="15"/>
        <v>4.2271052339697412E-3</v>
      </c>
      <c r="N175" s="35"/>
    </row>
    <row r="176" spans="1:14" x14ac:dyDescent="0.2">
      <c r="A176" s="2">
        <v>39629</v>
      </c>
      <c r="B176" s="2"/>
      <c r="C176" s="21">
        <v>2031.47</v>
      </c>
      <c r="D176" s="24">
        <f t="shared" si="12"/>
        <v>-8.4304710389903059E-2</v>
      </c>
      <c r="E176" s="20"/>
      <c r="F176" s="20">
        <v>2969.68</v>
      </c>
      <c r="G176" s="24">
        <f t="shared" si="13"/>
        <v>-7.6988108336596972E-2</v>
      </c>
      <c r="H176" s="20"/>
      <c r="I176" s="20">
        <v>1397.25</v>
      </c>
      <c r="J176" s="24">
        <f t="shared" si="14"/>
        <v>-8.0807791873460655E-4</v>
      </c>
      <c r="K176" s="20"/>
      <c r="L176" s="20">
        <v>1622.86</v>
      </c>
      <c r="M176" s="14">
        <f t="shared" si="15"/>
        <v>7.8561181460803375E-3</v>
      </c>
      <c r="N176" s="35"/>
    </row>
    <row r="177" spans="1:14" x14ac:dyDescent="0.2">
      <c r="A177" s="2">
        <v>39598</v>
      </c>
      <c r="B177" s="2"/>
      <c r="C177" s="21">
        <v>2218.5</v>
      </c>
      <c r="D177" s="24">
        <f t="shared" si="12"/>
        <v>1.2953568966225681E-2</v>
      </c>
      <c r="E177" s="20"/>
      <c r="F177" s="20">
        <v>3217.38</v>
      </c>
      <c r="G177" s="24">
        <f t="shared" si="13"/>
        <v>4.5938486445366911E-2</v>
      </c>
      <c r="H177" s="20"/>
      <c r="I177" s="20">
        <v>1398.38</v>
      </c>
      <c r="J177" s="24">
        <f t="shared" si="14"/>
        <v>-7.332950003904215E-3</v>
      </c>
      <c r="K177" s="20"/>
      <c r="L177" s="20">
        <v>1610.21</v>
      </c>
      <c r="M177" s="14">
        <f t="shared" si="15"/>
        <v>-1.1674226475083316E-2</v>
      </c>
      <c r="N177" s="35"/>
    </row>
    <row r="178" spans="1:14" x14ac:dyDescent="0.2">
      <c r="A178" s="2">
        <v>39568</v>
      </c>
      <c r="B178" s="2"/>
      <c r="C178" s="21">
        <v>2190.13</v>
      </c>
      <c r="D178" s="24">
        <f t="shared" si="12"/>
        <v>4.8701889466678194E-2</v>
      </c>
      <c r="E178" s="20"/>
      <c r="F178" s="20">
        <v>3076.07</v>
      </c>
      <c r="G178" s="24">
        <f t="shared" si="13"/>
        <v>4.1870311097563118E-2</v>
      </c>
      <c r="H178" s="20"/>
      <c r="I178" s="20">
        <v>1408.71</v>
      </c>
      <c r="J178" s="24">
        <f t="shared" si="14"/>
        <v>-2.0897383222588939E-3</v>
      </c>
      <c r="K178" s="20"/>
      <c r="L178" s="20">
        <v>1629.23</v>
      </c>
      <c r="M178" s="14">
        <f t="shared" si="15"/>
        <v>-1.7186255821248442E-2</v>
      </c>
      <c r="N178" s="35"/>
    </row>
    <row r="179" spans="1:14" x14ac:dyDescent="0.2">
      <c r="A179" s="2">
        <v>39538</v>
      </c>
      <c r="B179" s="2"/>
      <c r="C179" s="21">
        <v>2088.42</v>
      </c>
      <c r="D179" s="24">
        <f t="shared" si="12"/>
        <v>-4.319469077178284E-3</v>
      </c>
      <c r="E179" s="20"/>
      <c r="F179" s="20">
        <v>2952.45</v>
      </c>
      <c r="G179" s="24">
        <f t="shared" si="13"/>
        <v>4.1868754549103659E-3</v>
      </c>
      <c r="H179" s="20"/>
      <c r="I179" s="20">
        <v>1411.66</v>
      </c>
      <c r="J179" s="24">
        <f t="shared" si="14"/>
        <v>3.4118533471703127E-3</v>
      </c>
      <c r="K179" s="20"/>
      <c r="L179" s="20">
        <v>1657.72</v>
      </c>
      <c r="M179" s="14">
        <f t="shared" si="15"/>
        <v>6.9367672963616123E-3</v>
      </c>
      <c r="N179" s="35"/>
    </row>
    <row r="180" spans="1:14" x14ac:dyDescent="0.2">
      <c r="A180" s="2">
        <v>39507</v>
      </c>
      <c r="B180" s="2"/>
      <c r="C180" s="21">
        <v>2097.48</v>
      </c>
      <c r="D180" s="24">
        <f t="shared" si="12"/>
        <v>-3.2483048111075274E-2</v>
      </c>
      <c r="E180" s="20"/>
      <c r="F180" s="20">
        <v>2940.14</v>
      </c>
      <c r="G180" s="24">
        <f t="shared" si="13"/>
        <v>-3.7064693725825437E-2</v>
      </c>
      <c r="H180" s="20"/>
      <c r="I180" s="20">
        <v>1406.86</v>
      </c>
      <c r="J180" s="24">
        <f t="shared" si="14"/>
        <v>1.3879892662163051E-3</v>
      </c>
      <c r="K180" s="20"/>
      <c r="L180" s="20">
        <v>1646.3</v>
      </c>
      <c r="M180" s="14">
        <f t="shared" si="15"/>
        <v>1.1396098909537633E-2</v>
      </c>
      <c r="N180" s="35"/>
    </row>
    <row r="181" spans="1:14" x14ac:dyDescent="0.2">
      <c r="A181" s="2">
        <v>39478</v>
      </c>
      <c r="B181" s="2"/>
      <c r="C181" s="21">
        <v>2167.9</v>
      </c>
      <c r="D181" s="24">
        <f t="shared" si="12"/>
        <v>-5.998100796538075E-2</v>
      </c>
      <c r="E181" s="20"/>
      <c r="F181" s="20">
        <v>3053.31</v>
      </c>
      <c r="G181" s="24">
        <f t="shared" si="13"/>
        <v>-6.8195204423868616E-2</v>
      </c>
      <c r="H181" s="20"/>
      <c r="I181" s="20">
        <v>1404.91</v>
      </c>
      <c r="J181" s="24">
        <f t="shared" si="14"/>
        <v>1.6798147209958758E-2</v>
      </c>
      <c r="K181" s="20"/>
      <c r="L181" s="20">
        <v>1627.75</v>
      </c>
      <c r="M181" s="14">
        <f t="shared" si="15"/>
        <v>2.5386626350436314E-2</v>
      </c>
      <c r="N181" s="35"/>
    </row>
    <row r="182" spans="1:14" x14ac:dyDescent="0.2">
      <c r="A182" s="2">
        <v>39447</v>
      </c>
      <c r="B182" s="2"/>
      <c r="C182" s="21">
        <v>2306.23</v>
      </c>
      <c r="D182" s="24">
        <f t="shared" si="12"/>
        <v>-6.9369687470396402E-3</v>
      </c>
      <c r="E182" s="20"/>
      <c r="F182" s="20">
        <v>3276.77</v>
      </c>
      <c r="G182" s="24">
        <f t="shared" si="13"/>
        <v>-6.2522492848038347E-4</v>
      </c>
      <c r="H182" s="20"/>
      <c r="I182" s="20">
        <v>1381.7</v>
      </c>
      <c r="J182" s="24">
        <f t="shared" si="14"/>
        <v>2.8087645065066891E-3</v>
      </c>
      <c r="K182" s="20"/>
      <c r="L182" s="20">
        <v>1587.45</v>
      </c>
      <c r="M182" s="14">
        <f t="shared" si="15"/>
        <v>8.0066575041914945E-4</v>
      </c>
      <c r="N182" s="35"/>
    </row>
    <row r="183" spans="1:14" x14ac:dyDescent="0.2">
      <c r="A183" s="2">
        <v>39416</v>
      </c>
      <c r="B183" s="2"/>
      <c r="C183" s="21">
        <v>2322.34</v>
      </c>
      <c r="D183" s="24">
        <f t="shared" si="12"/>
        <v>-4.1808497031361469E-2</v>
      </c>
      <c r="E183" s="20"/>
      <c r="F183" s="20">
        <v>3278.82</v>
      </c>
      <c r="G183" s="24">
        <f t="shared" si="13"/>
        <v>-7.1805280724252296E-2</v>
      </c>
      <c r="H183" s="20"/>
      <c r="I183" s="20">
        <v>1377.83</v>
      </c>
      <c r="J183" s="24">
        <f t="shared" si="14"/>
        <v>1.7983139882821408E-2</v>
      </c>
      <c r="K183" s="20"/>
      <c r="L183" s="20">
        <v>1586.18</v>
      </c>
      <c r="M183" s="14">
        <f t="shared" si="15"/>
        <v>3.0689756002469259E-2</v>
      </c>
      <c r="N183" s="35"/>
    </row>
    <row r="184" spans="1:14" x14ac:dyDescent="0.2">
      <c r="A184" s="2">
        <v>39386</v>
      </c>
      <c r="B184" s="2"/>
      <c r="C184" s="21">
        <v>2423.67</v>
      </c>
      <c r="D184" s="24">
        <f t="shared" si="12"/>
        <v>1.5907147527790544E-2</v>
      </c>
      <c r="E184" s="20"/>
      <c r="F184" s="20">
        <v>3532.47</v>
      </c>
      <c r="G184" s="24">
        <f t="shared" si="13"/>
        <v>2.8689992574149281E-2</v>
      </c>
      <c r="H184" s="20"/>
      <c r="I184" s="20">
        <v>1353.49</v>
      </c>
      <c r="J184" s="24">
        <f t="shared" si="14"/>
        <v>8.9828840648855657E-3</v>
      </c>
      <c r="K184" s="20"/>
      <c r="L184" s="20">
        <v>1538.95</v>
      </c>
      <c r="M184" s="14">
        <f t="shared" si="15"/>
        <v>7.8654040106356238E-3</v>
      </c>
      <c r="N184" s="35"/>
    </row>
    <row r="185" spans="1:14" x14ac:dyDescent="0.2">
      <c r="A185" s="2">
        <v>39353</v>
      </c>
      <c r="B185" s="2"/>
      <c r="C185" s="21">
        <v>2385.7199999999998</v>
      </c>
      <c r="D185" s="24">
        <f t="shared" si="12"/>
        <v>3.7400367872470808E-2</v>
      </c>
      <c r="E185" s="20"/>
      <c r="F185" s="20">
        <v>3433.95</v>
      </c>
      <c r="G185" s="24">
        <f t="shared" si="13"/>
        <v>1.7165284360189492E-2</v>
      </c>
      <c r="H185" s="20"/>
      <c r="I185" s="20">
        <v>1341.44</v>
      </c>
      <c r="J185" s="24">
        <f t="shared" si="14"/>
        <v>7.5863415806631807E-3</v>
      </c>
      <c r="K185" s="20"/>
      <c r="L185" s="20">
        <v>1526.94</v>
      </c>
      <c r="M185" s="14">
        <f t="shared" si="15"/>
        <v>5.3925925925926155E-3</v>
      </c>
      <c r="N185" s="35"/>
    </row>
    <row r="186" spans="1:14" x14ac:dyDescent="0.2">
      <c r="A186" s="2">
        <v>39325</v>
      </c>
      <c r="B186" s="2"/>
      <c r="C186" s="21">
        <v>2299.71</v>
      </c>
      <c r="D186" s="24">
        <f t="shared" si="12"/>
        <v>1.498841443230714E-2</v>
      </c>
      <c r="E186" s="20"/>
      <c r="F186" s="20">
        <v>3376</v>
      </c>
      <c r="G186" s="24">
        <f t="shared" si="13"/>
        <v>2.2664622953004754E-2</v>
      </c>
      <c r="H186" s="20"/>
      <c r="I186" s="20">
        <v>1331.34</v>
      </c>
      <c r="J186" s="24">
        <f t="shared" si="14"/>
        <v>1.225650461519745E-2</v>
      </c>
      <c r="K186" s="20"/>
      <c r="L186" s="20">
        <v>1518.75</v>
      </c>
      <c r="M186" s="14">
        <f t="shared" si="15"/>
        <v>1.567567929058189E-2</v>
      </c>
      <c r="N186" s="35"/>
    </row>
    <row r="187" spans="1:14" x14ac:dyDescent="0.2">
      <c r="A187" s="2">
        <v>39294</v>
      </c>
      <c r="B187" s="2"/>
      <c r="C187" s="21">
        <v>2265.75</v>
      </c>
      <c r="D187" s="24">
        <f t="shared" si="12"/>
        <v>-3.1006094301293752E-2</v>
      </c>
      <c r="E187" s="20"/>
      <c r="F187" s="20">
        <v>3301.18</v>
      </c>
      <c r="G187" s="24">
        <f t="shared" si="13"/>
        <v>-6.8392252922932828E-2</v>
      </c>
      <c r="H187" s="20"/>
      <c r="I187" s="20">
        <v>1315.22</v>
      </c>
      <c r="J187" s="24">
        <f t="shared" si="14"/>
        <v>8.3413833816337046E-3</v>
      </c>
      <c r="K187" s="20"/>
      <c r="L187" s="20">
        <v>1495.31</v>
      </c>
      <c r="M187" s="14">
        <f t="shared" si="15"/>
        <v>1.65814592227993E-2</v>
      </c>
      <c r="N187" s="35"/>
    </row>
    <row r="188" spans="1:14" x14ac:dyDescent="0.2">
      <c r="A188" s="2">
        <v>39262</v>
      </c>
      <c r="B188" s="2"/>
      <c r="C188" s="21">
        <v>2338.25</v>
      </c>
      <c r="D188" s="24">
        <f t="shared" si="12"/>
        <v>-1.6612343602144919E-2</v>
      </c>
      <c r="E188" s="20"/>
      <c r="F188" s="20">
        <v>3543.53</v>
      </c>
      <c r="G188" s="24">
        <f t="shared" si="13"/>
        <v>-1.4629575044353027E-2</v>
      </c>
      <c r="H188" s="20"/>
      <c r="I188" s="20">
        <v>1304.3399999999999</v>
      </c>
      <c r="J188" s="24">
        <f t="shared" si="14"/>
        <v>-2.9582406494370606E-3</v>
      </c>
      <c r="K188" s="20"/>
      <c r="L188" s="20">
        <v>1470.92</v>
      </c>
      <c r="M188" s="14">
        <f t="shared" si="15"/>
        <v>-4.3491260974737322E-4</v>
      </c>
      <c r="N188" s="35"/>
    </row>
    <row r="189" spans="1:14" x14ac:dyDescent="0.2">
      <c r="A189" s="2">
        <v>39233</v>
      </c>
      <c r="B189" s="2"/>
      <c r="C189" s="21">
        <v>2377.75</v>
      </c>
      <c r="D189" s="24">
        <f t="shared" si="12"/>
        <v>3.489773978594779E-2</v>
      </c>
      <c r="E189" s="20"/>
      <c r="F189" s="20">
        <v>3596.14</v>
      </c>
      <c r="G189" s="24">
        <f t="shared" si="13"/>
        <v>4.0956392109186002E-2</v>
      </c>
      <c r="H189" s="20"/>
      <c r="I189" s="20">
        <v>1308.21</v>
      </c>
      <c r="J189" s="24">
        <f t="shared" si="14"/>
        <v>-7.5785161583977745E-3</v>
      </c>
      <c r="K189" s="20"/>
      <c r="L189" s="20">
        <v>1471.56</v>
      </c>
      <c r="M189" s="14">
        <f t="shared" si="15"/>
        <v>-8.9770959465012012E-3</v>
      </c>
      <c r="N189" s="35"/>
    </row>
    <row r="190" spans="1:14" x14ac:dyDescent="0.2">
      <c r="A190" s="2">
        <v>39202</v>
      </c>
      <c r="B190" s="2"/>
      <c r="C190" s="21">
        <v>2297.5700000000002</v>
      </c>
      <c r="D190" s="24">
        <f t="shared" si="12"/>
        <v>4.4293038561533216E-2</v>
      </c>
      <c r="E190" s="20"/>
      <c r="F190" s="20">
        <v>3454.65</v>
      </c>
      <c r="G190" s="24">
        <f t="shared" si="13"/>
        <v>1.7959748946577481E-2</v>
      </c>
      <c r="H190" s="20"/>
      <c r="I190" s="20">
        <v>1318.2</v>
      </c>
      <c r="J190" s="24">
        <f t="shared" si="14"/>
        <v>5.3922951957470211E-3</v>
      </c>
      <c r="K190" s="20"/>
      <c r="L190" s="20">
        <v>1484.89</v>
      </c>
      <c r="M190" s="14">
        <f t="shared" si="15"/>
        <v>5.1513592548468878E-3</v>
      </c>
      <c r="N190" s="35"/>
    </row>
    <row r="191" spans="1:14" x14ac:dyDescent="0.2">
      <c r="A191" s="2">
        <v>39171</v>
      </c>
      <c r="B191" s="2"/>
      <c r="C191" s="21">
        <v>2200.12</v>
      </c>
      <c r="D191" s="24">
        <f t="shared" si="12"/>
        <v>1.1186792782358346E-2</v>
      </c>
      <c r="E191" s="20"/>
      <c r="F191" s="20">
        <v>3393.7</v>
      </c>
      <c r="G191" s="24">
        <f t="shared" si="13"/>
        <v>1.070657434293798E-2</v>
      </c>
      <c r="H191" s="20"/>
      <c r="I191" s="20">
        <v>1311.13</v>
      </c>
      <c r="J191" s="24">
        <f t="shared" si="14"/>
        <v>3.0508965822573231E-5</v>
      </c>
      <c r="K191" s="20"/>
      <c r="L191" s="20">
        <v>1477.28</v>
      </c>
      <c r="M191" s="14">
        <f t="shared" si="15"/>
        <v>-4.8714479025713242E-4</v>
      </c>
      <c r="N191" s="35"/>
    </row>
    <row r="192" spans="1:14" x14ac:dyDescent="0.2">
      <c r="A192" s="2">
        <v>39141</v>
      </c>
      <c r="B192" s="2"/>
      <c r="C192" s="21">
        <v>2175.7800000000002</v>
      </c>
      <c r="D192" s="24">
        <f t="shared" si="12"/>
        <v>-1.9561191245454301E-2</v>
      </c>
      <c r="E192" s="20"/>
      <c r="F192" s="20">
        <v>3357.75</v>
      </c>
      <c r="G192" s="24">
        <f t="shared" si="13"/>
        <v>-7.935921716239136E-3</v>
      </c>
      <c r="H192" s="20"/>
      <c r="I192" s="20">
        <v>1311.09</v>
      </c>
      <c r="J192" s="24">
        <f t="shared" si="14"/>
        <v>1.5420003407735416E-2</v>
      </c>
      <c r="K192" s="20"/>
      <c r="L192" s="20">
        <v>1478</v>
      </c>
      <c r="M192" s="14">
        <f t="shared" si="15"/>
        <v>1.6583097758427368E-2</v>
      </c>
      <c r="N192" s="35"/>
    </row>
    <row r="193" spans="1:14" x14ac:dyDescent="0.2">
      <c r="A193" s="2">
        <v>39113</v>
      </c>
      <c r="B193" s="2"/>
      <c r="C193" s="21">
        <v>2219.19</v>
      </c>
      <c r="D193" s="24">
        <f t="shared" si="12"/>
        <v>1.5122613934212437E-2</v>
      </c>
      <c r="E193" s="20"/>
      <c r="F193" s="20">
        <v>3384.61</v>
      </c>
      <c r="G193" s="24">
        <f t="shared" si="13"/>
        <v>1.673525789299779E-2</v>
      </c>
      <c r="H193" s="20"/>
      <c r="I193" s="20">
        <v>1291.18</v>
      </c>
      <c r="J193" s="24">
        <f t="shared" si="14"/>
        <v>-4.1030881544612541E-4</v>
      </c>
      <c r="K193" s="20"/>
      <c r="L193" s="20">
        <v>1453.89</v>
      </c>
      <c r="M193" s="14">
        <f t="shared" si="15"/>
        <v>-1.5931768082899644E-3</v>
      </c>
      <c r="N193" s="35"/>
    </row>
    <row r="194" spans="1:14" x14ac:dyDescent="0.2">
      <c r="A194" s="2">
        <v>39080</v>
      </c>
      <c r="B194" s="2"/>
      <c r="C194" s="21">
        <v>2186.13</v>
      </c>
      <c r="D194" s="24">
        <f t="shared" si="12"/>
        <v>1.4026689673406478E-2</v>
      </c>
      <c r="E194" s="20"/>
      <c r="F194" s="20">
        <v>3328.9</v>
      </c>
      <c r="G194" s="24">
        <f t="shared" si="13"/>
        <v>3.3486145898324882E-3</v>
      </c>
      <c r="H194" s="20"/>
      <c r="I194" s="20">
        <v>1291.71</v>
      </c>
      <c r="J194" s="24">
        <f t="shared" si="14"/>
        <v>-5.8033480854339237E-3</v>
      </c>
      <c r="K194" s="20"/>
      <c r="L194" s="20">
        <v>1456.21</v>
      </c>
      <c r="M194" s="14">
        <f t="shared" si="15"/>
        <v>-8.2205029013538988E-3</v>
      </c>
      <c r="N194" s="35"/>
    </row>
    <row r="195" spans="1:14" x14ac:dyDescent="0.2">
      <c r="A195" s="2">
        <v>39051</v>
      </c>
      <c r="B195" s="2"/>
      <c r="C195" s="21">
        <v>2155.89</v>
      </c>
      <c r="D195" s="24">
        <f t="shared" si="12"/>
        <v>1.9020159289107275E-2</v>
      </c>
      <c r="E195" s="20"/>
      <c r="F195" s="20">
        <v>3317.79</v>
      </c>
      <c r="G195" s="24">
        <f t="shared" si="13"/>
        <v>2.6305776815404913E-2</v>
      </c>
      <c r="H195" s="20"/>
      <c r="I195" s="20">
        <v>1299.25</v>
      </c>
      <c r="J195" s="24">
        <f t="shared" si="14"/>
        <v>1.1601199050103261E-2</v>
      </c>
      <c r="K195" s="20"/>
      <c r="L195" s="20">
        <v>1468.28</v>
      </c>
      <c r="M195" s="14">
        <f t="shared" si="15"/>
        <v>1.0446631339894097E-2</v>
      </c>
      <c r="N195" s="35"/>
    </row>
    <row r="196" spans="1:14" x14ac:dyDescent="0.2">
      <c r="A196" s="2">
        <v>39021</v>
      </c>
      <c r="B196" s="2"/>
      <c r="C196" s="21">
        <v>2115.65</v>
      </c>
      <c r="D196" s="24">
        <f t="shared" si="12"/>
        <v>3.2583496429774206E-2</v>
      </c>
      <c r="E196" s="20"/>
      <c r="F196" s="20">
        <v>3232.75</v>
      </c>
      <c r="G196" s="24">
        <f t="shared" si="13"/>
        <v>5.757749243477539E-2</v>
      </c>
      <c r="H196" s="20"/>
      <c r="I196" s="20">
        <v>1284.3499999999999</v>
      </c>
      <c r="J196" s="24">
        <f t="shared" si="14"/>
        <v>6.61488662993448E-3</v>
      </c>
      <c r="K196" s="20"/>
      <c r="L196" s="20">
        <v>1453.1</v>
      </c>
      <c r="M196" s="14">
        <f t="shared" si="15"/>
        <v>5.076914563966195E-3</v>
      </c>
      <c r="N196" s="35"/>
    </row>
    <row r="197" spans="1:14" x14ac:dyDescent="0.2">
      <c r="A197" s="2">
        <v>38989</v>
      </c>
      <c r="B197" s="2"/>
      <c r="C197" s="21">
        <v>2048.89</v>
      </c>
      <c r="D197" s="24">
        <f t="shared" si="12"/>
        <v>2.5768241030929895E-2</v>
      </c>
      <c r="E197" s="20"/>
      <c r="F197" s="20">
        <v>3056.75</v>
      </c>
      <c r="G197" s="24">
        <f t="shared" si="13"/>
        <v>8.3258838004822699E-3</v>
      </c>
      <c r="H197" s="20"/>
      <c r="I197" s="20">
        <v>1275.9100000000001</v>
      </c>
      <c r="J197" s="24">
        <f t="shared" si="14"/>
        <v>8.7839974699557288E-3</v>
      </c>
      <c r="K197" s="20"/>
      <c r="L197" s="20">
        <v>1445.76</v>
      </c>
      <c r="M197" s="14">
        <f t="shared" si="15"/>
        <v>9.2847269731790583E-3</v>
      </c>
      <c r="N197" s="35"/>
    </row>
    <row r="198" spans="1:14" x14ac:dyDescent="0.2">
      <c r="A198" s="2">
        <v>38960</v>
      </c>
      <c r="B198" s="2"/>
      <c r="C198" s="21">
        <v>1997.42</v>
      </c>
      <c r="D198" s="24">
        <f t="shared" si="12"/>
        <v>2.3792926704254258E-2</v>
      </c>
      <c r="E198" s="20"/>
      <c r="F198" s="20">
        <v>3031.51</v>
      </c>
      <c r="G198" s="24">
        <f t="shared" si="13"/>
        <v>2.9605955833905018E-2</v>
      </c>
      <c r="H198" s="20"/>
      <c r="I198" s="20">
        <v>1264.8</v>
      </c>
      <c r="J198" s="24">
        <f t="shared" si="14"/>
        <v>1.5308293129329797E-2</v>
      </c>
      <c r="K198" s="20"/>
      <c r="L198" s="20">
        <v>1432.46</v>
      </c>
      <c r="M198" s="14">
        <f t="shared" si="15"/>
        <v>1.4676923512828122E-2</v>
      </c>
      <c r="N198" s="35"/>
    </row>
    <row r="199" spans="1:14" x14ac:dyDescent="0.2">
      <c r="A199" s="2">
        <v>38929</v>
      </c>
      <c r="B199" s="2"/>
      <c r="C199" s="21">
        <v>1951</v>
      </c>
      <c r="D199" s="24">
        <f t="shared" si="12"/>
        <v>6.1731896876273673E-3</v>
      </c>
      <c r="E199" s="20"/>
      <c r="F199" s="20">
        <v>2944.34</v>
      </c>
      <c r="G199" s="24">
        <f t="shared" si="13"/>
        <v>-3.25395860509895E-2</v>
      </c>
      <c r="H199" s="20"/>
      <c r="I199" s="20">
        <v>1245.73</v>
      </c>
      <c r="J199" s="24">
        <f t="shared" si="14"/>
        <v>1.3521979318368738E-2</v>
      </c>
      <c r="K199" s="20"/>
      <c r="L199" s="20">
        <v>1411.74</v>
      </c>
      <c r="M199" s="14">
        <f t="shared" si="15"/>
        <v>1.2384633588388372E-2</v>
      </c>
      <c r="N199" s="35"/>
    </row>
    <row r="200" spans="1:14" x14ac:dyDescent="0.2">
      <c r="A200" s="2">
        <v>38898</v>
      </c>
      <c r="B200" s="2"/>
      <c r="C200" s="21">
        <v>1939.03</v>
      </c>
      <c r="D200" s="24">
        <f t="shared" si="12"/>
        <v>1.3530192469568547E-3</v>
      </c>
      <c r="E200" s="20"/>
      <c r="F200" s="20">
        <v>3043.37</v>
      </c>
      <c r="G200" s="24">
        <f t="shared" si="13"/>
        <v>6.4320484668904943E-3</v>
      </c>
      <c r="H200" s="20"/>
      <c r="I200" s="20">
        <v>1229.1099999999999</v>
      </c>
      <c r="J200" s="24">
        <f t="shared" si="14"/>
        <v>2.1198359573098013E-3</v>
      </c>
      <c r="K200" s="20"/>
      <c r="L200" s="20">
        <v>1394.47</v>
      </c>
      <c r="M200" s="14">
        <f t="shared" si="15"/>
        <v>3.1869586486721335E-3</v>
      </c>
      <c r="N200" s="35"/>
    </row>
    <row r="201" spans="1:14" x14ac:dyDescent="0.2">
      <c r="A201" s="2">
        <v>38868</v>
      </c>
      <c r="B201" s="2"/>
      <c r="C201" s="21">
        <v>1936.41</v>
      </c>
      <c r="D201" s="24">
        <f t="shared" si="12"/>
        <v>-2.8779359912528335E-2</v>
      </c>
      <c r="E201" s="20"/>
      <c r="F201" s="20">
        <v>3023.92</v>
      </c>
      <c r="G201" s="24">
        <f t="shared" si="13"/>
        <v>-5.6160556830063824E-2</v>
      </c>
      <c r="H201" s="20"/>
      <c r="I201" s="20">
        <v>1226.51</v>
      </c>
      <c r="J201" s="24">
        <f t="shared" si="14"/>
        <v>-1.0669316349301017E-3</v>
      </c>
      <c r="K201" s="20"/>
      <c r="L201" s="20">
        <v>1390.04</v>
      </c>
      <c r="M201" s="14">
        <f t="shared" si="15"/>
        <v>3.3103527684619216E-4</v>
      </c>
      <c r="N201" s="35"/>
    </row>
    <row r="202" spans="1:14" x14ac:dyDescent="0.2">
      <c r="A202" s="2">
        <v>38835</v>
      </c>
      <c r="B202" s="2"/>
      <c r="C202" s="21">
        <v>1993.79</v>
      </c>
      <c r="D202" s="24">
        <f t="shared" si="12"/>
        <v>1.3423944535371879E-2</v>
      </c>
      <c r="E202" s="20"/>
      <c r="F202" s="20">
        <v>3203.85</v>
      </c>
      <c r="G202" s="24">
        <f t="shared" si="13"/>
        <v>-1.6227838857563182E-4</v>
      </c>
      <c r="H202" s="20"/>
      <c r="I202" s="20">
        <v>1227.82</v>
      </c>
      <c r="J202" s="24">
        <f t="shared" si="14"/>
        <v>-1.8129344335596764E-3</v>
      </c>
      <c r="K202" s="20"/>
      <c r="L202" s="20">
        <v>1389.58</v>
      </c>
      <c r="M202" s="14">
        <f t="shared" si="15"/>
        <v>-4.1208889653343572E-3</v>
      </c>
      <c r="N202" s="35"/>
    </row>
    <row r="203" spans="1:14" x14ac:dyDescent="0.2">
      <c r="A203" s="2">
        <v>38807</v>
      </c>
      <c r="B203" s="2"/>
      <c r="C203" s="21">
        <v>1967.38</v>
      </c>
      <c r="D203" s="24">
        <f t="shared" si="12"/>
        <v>1.2448602555591659E-2</v>
      </c>
      <c r="E203" s="20"/>
      <c r="F203" s="20">
        <v>3204.37</v>
      </c>
      <c r="G203" s="24">
        <f t="shared" si="13"/>
        <v>4.8516082588920595E-2</v>
      </c>
      <c r="H203" s="20"/>
      <c r="I203" s="20">
        <v>1230.05</v>
      </c>
      <c r="J203" s="24">
        <f t="shared" si="14"/>
        <v>-9.8129185986605139E-3</v>
      </c>
      <c r="K203" s="20"/>
      <c r="L203" s="20">
        <v>1395.33</v>
      </c>
      <c r="M203" s="14">
        <f t="shared" si="15"/>
        <v>-1.0790117330119475E-2</v>
      </c>
      <c r="N203" s="35"/>
    </row>
    <row r="204" spans="1:14" x14ac:dyDescent="0.2">
      <c r="A204" s="2">
        <v>38776</v>
      </c>
      <c r="B204" s="2"/>
      <c r="C204" s="21">
        <v>1943.19</v>
      </c>
      <c r="D204" s="24">
        <f t="shared" si="12"/>
        <v>2.7142363243253254E-3</v>
      </c>
      <c r="E204" s="20"/>
      <c r="F204" s="20">
        <v>3056.1</v>
      </c>
      <c r="G204" s="24">
        <f t="shared" si="13"/>
        <v>-2.7540838102945164E-3</v>
      </c>
      <c r="H204" s="20"/>
      <c r="I204" s="20">
        <v>1242.24</v>
      </c>
      <c r="J204" s="24">
        <f t="shared" si="14"/>
        <v>3.3195221826463062E-3</v>
      </c>
      <c r="K204" s="20"/>
      <c r="L204" s="20">
        <v>1410.55</v>
      </c>
      <c r="M204" s="14">
        <f t="shared" si="15"/>
        <v>1.455449059282854E-3</v>
      </c>
      <c r="N204" s="35"/>
    </row>
    <row r="205" spans="1:14" x14ac:dyDescent="0.2">
      <c r="A205" s="2">
        <v>38748</v>
      </c>
      <c r="B205" s="2"/>
      <c r="C205" s="21">
        <v>1937.93</v>
      </c>
      <c r="D205" s="24">
        <f t="shared" si="12"/>
        <v>2.6478595718084197E-2</v>
      </c>
      <c r="E205" s="20"/>
      <c r="F205" s="20">
        <v>3064.54</v>
      </c>
      <c r="G205" s="24">
        <f t="shared" si="13"/>
        <v>8.96723380802531E-2</v>
      </c>
      <c r="H205" s="20"/>
      <c r="I205" s="20">
        <v>1238.1300000000001</v>
      </c>
      <c r="J205" s="24">
        <f t="shared" si="14"/>
        <v>5.6540070755950467E-5</v>
      </c>
      <c r="K205" s="20"/>
      <c r="L205" s="20">
        <v>1408.5</v>
      </c>
      <c r="M205" s="14">
        <f t="shared" si="15"/>
        <v>-2.9800879161328009E-3</v>
      </c>
      <c r="N205" s="35"/>
    </row>
    <row r="206" spans="1:14" x14ac:dyDescent="0.2">
      <c r="A206" s="2">
        <v>38716</v>
      </c>
      <c r="B206" s="2"/>
      <c r="C206" s="21">
        <v>1887.94</v>
      </c>
      <c r="D206" s="24">
        <f t="shared" si="12"/>
        <v>3.497096350304485E-4</v>
      </c>
      <c r="E206" s="20"/>
      <c r="F206" s="20">
        <v>2812.35</v>
      </c>
      <c r="G206" s="24">
        <f t="shared" si="13"/>
        <v>-4.5694909495056502E-3</v>
      </c>
      <c r="H206" s="20"/>
      <c r="I206" s="20">
        <v>1238.06</v>
      </c>
      <c r="J206" s="24">
        <f t="shared" si="14"/>
        <v>9.5075016307892835E-3</v>
      </c>
      <c r="K206" s="20"/>
      <c r="L206" s="20">
        <v>1412.71</v>
      </c>
      <c r="M206" s="14">
        <f t="shared" si="15"/>
        <v>1.0363176038105548E-2</v>
      </c>
      <c r="N206" s="35"/>
    </row>
    <row r="207" spans="1:14" x14ac:dyDescent="0.2">
      <c r="A207" s="2">
        <v>38686</v>
      </c>
      <c r="B207" s="2"/>
      <c r="C207" s="21">
        <v>1887.28</v>
      </c>
      <c r="D207" s="24">
        <f t="shared" si="12"/>
        <v>3.7822381083310486E-2</v>
      </c>
      <c r="E207" s="20"/>
      <c r="F207" s="20">
        <v>2825.26</v>
      </c>
      <c r="G207" s="24">
        <f t="shared" si="13"/>
        <v>4.8544049642600173E-2</v>
      </c>
      <c r="H207" s="20"/>
      <c r="I207" s="20">
        <v>1226.4000000000001</v>
      </c>
      <c r="J207" s="24">
        <f t="shared" si="14"/>
        <v>4.4226044226045591E-3</v>
      </c>
      <c r="K207" s="20"/>
      <c r="L207" s="20">
        <v>1398.22</v>
      </c>
      <c r="M207" s="14">
        <f t="shared" si="15"/>
        <v>4.8509849296067831E-3</v>
      </c>
      <c r="N207" s="35"/>
    </row>
    <row r="208" spans="1:14" x14ac:dyDescent="0.2">
      <c r="A208" s="2">
        <v>38656</v>
      </c>
      <c r="B208" s="2"/>
      <c r="C208" s="21">
        <v>1818.5</v>
      </c>
      <c r="D208" s="24">
        <f t="shared" si="12"/>
        <v>-1.6670902434935853E-2</v>
      </c>
      <c r="E208" s="20"/>
      <c r="F208" s="20">
        <v>2694.46</v>
      </c>
      <c r="G208" s="24">
        <f t="shared" si="13"/>
        <v>-3.104861910241663E-2</v>
      </c>
      <c r="H208" s="20"/>
      <c r="I208" s="20">
        <v>1221</v>
      </c>
      <c r="J208" s="24">
        <f t="shared" si="14"/>
        <v>-7.9139379560264622E-3</v>
      </c>
      <c r="K208" s="20"/>
      <c r="L208" s="20">
        <v>1391.47</v>
      </c>
      <c r="M208" s="14">
        <f t="shared" si="15"/>
        <v>-7.8220815150737977E-3</v>
      </c>
      <c r="N208" s="35"/>
    </row>
    <row r="209" spans="1:14" x14ac:dyDescent="0.2">
      <c r="A209" s="2">
        <v>38625</v>
      </c>
      <c r="B209" s="2"/>
      <c r="C209" s="21">
        <v>1849.33</v>
      </c>
      <c r="D209" s="24">
        <f t="shared" si="12"/>
        <v>8.0949369848675179E-3</v>
      </c>
      <c r="E209" s="20"/>
      <c r="F209" s="20">
        <v>2780.8</v>
      </c>
      <c r="G209" s="24">
        <f t="shared" si="13"/>
        <v>3.1384149200968103E-3</v>
      </c>
      <c r="H209" s="20"/>
      <c r="I209" s="20">
        <v>1230.74</v>
      </c>
      <c r="J209" s="24">
        <f t="shared" si="14"/>
        <v>-1.0301153954404674E-2</v>
      </c>
      <c r="K209" s="20"/>
      <c r="L209" s="20">
        <v>1402.44</v>
      </c>
      <c r="M209" s="14">
        <f t="shared" si="15"/>
        <v>-1.326954196862018E-2</v>
      </c>
      <c r="N209" s="35"/>
    </row>
    <row r="210" spans="1:14" x14ac:dyDescent="0.2">
      <c r="A210" s="2">
        <v>38595</v>
      </c>
      <c r="B210" s="2"/>
      <c r="C210" s="21">
        <v>1834.48</v>
      </c>
      <c r="D210" s="24">
        <f t="shared" si="12"/>
        <v>-9.1229737977821523E-3</v>
      </c>
      <c r="E210" s="20"/>
      <c r="F210" s="20">
        <v>2772.1</v>
      </c>
      <c r="G210" s="24">
        <f t="shared" si="13"/>
        <v>-1.8541531685590584E-2</v>
      </c>
      <c r="H210" s="20"/>
      <c r="I210" s="20">
        <v>1243.55</v>
      </c>
      <c r="J210" s="24">
        <f t="shared" si="14"/>
        <v>1.2811324135459712E-2</v>
      </c>
      <c r="K210" s="20"/>
      <c r="L210" s="20">
        <v>1421.3</v>
      </c>
      <c r="M210" s="14">
        <f t="shared" si="15"/>
        <v>1.5881865225719771E-2</v>
      </c>
      <c r="N210" s="35"/>
    </row>
    <row r="211" spans="1:14" x14ac:dyDescent="0.2">
      <c r="A211" s="2">
        <v>38562</v>
      </c>
      <c r="B211" s="2"/>
      <c r="C211" s="21">
        <v>1851.37</v>
      </c>
      <c r="D211" s="24">
        <f t="shared" ref="D211:D274" si="16">C211/C212-1</f>
        <v>3.718788340550927E-2</v>
      </c>
      <c r="E211" s="20"/>
      <c r="F211" s="20">
        <v>2824.47</v>
      </c>
      <c r="G211" s="24">
        <f t="shared" ref="G211:G274" si="17">F211/F212-1</f>
        <v>6.3353901641072241E-2</v>
      </c>
      <c r="H211" s="20"/>
      <c r="I211" s="20">
        <v>1227.82</v>
      </c>
      <c r="J211" s="24">
        <f t="shared" ref="J211:J274" si="18">I211/I212-1</f>
        <v>-9.0953845160560709E-3</v>
      </c>
      <c r="K211" s="20"/>
      <c r="L211" s="20">
        <v>1399.08</v>
      </c>
      <c r="M211" s="14">
        <f t="shared" ref="M211:M274" si="19">L211/L212-1</f>
        <v>-1.3558389914757663E-2</v>
      </c>
      <c r="N211" s="35"/>
    </row>
    <row r="212" spans="1:14" x14ac:dyDescent="0.2">
      <c r="A212" s="2">
        <v>38533</v>
      </c>
      <c r="B212" s="2"/>
      <c r="C212" s="21">
        <v>1784.99</v>
      </c>
      <c r="D212" s="24">
        <f t="shared" si="16"/>
        <v>1.4193866903045027E-3</v>
      </c>
      <c r="E212" s="20"/>
      <c r="F212" s="20">
        <v>2656.19</v>
      </c>
      <c r="G212" s="24">
        <f t="shared" si="17"/>
        <v>3.8572221744332502E-2</v>
      </c>
      <c r="H212" s="20"/>
      <c r="I212" s="20">
        <v>1239.0899999999999</v>
      </c>
      <c r="J212" s="24">
        <f t="shared" si="18"/>
        <v>5.4529078117773189E-3</v>
      </c>
      <c r="K212" s="20"/>
      <c r="L212" s="20">
        <v>1418.31</v>
      </c>
      <c r="M212" s="14">
        <f t="shared" si="19"/>
        <v>6.1290940432865426E-3</v>
      </c>
      <c r="N212" s="35"/>
    </row>
    <row r="213" spans="1:14" x14ac:dyDescent="0.2">
      <c r="A213" s="2">
        <v>38503</v>
      </c>
      <c r="B213" s="2"/>
      <c r="C213" s="21">
        <v>1782.46</v>
      </c>
      <c r="D213" s="24">
        <f t="shared" si="16"/>
        <v>3.1820734128706896E-2</v>
      </c>
      <c r="E213" s="20"/>
      <c r="F213" s="20">
        <v>2557.54</v>
      </c>
      <c r="G213" s="24">
        <f t="shared" si="17"/>
        <v>6.5450773403098683E-2</v>
      </c>
      <c r="H213" s="20"/>
      <c r="I213" s="20">
        <v>1232.3699999999999</v>
      </c>
      <c r="J213" s="24">
        <f t="shared" si="18"/>
        <v>1.0818747026689834E-2</v>
      </c>
      <c r="K213" s="20"/>
      <c r="L213" s="20">
        <v>1409.67</v>
      </c>
      <c r="M213" s="14">
        <f t="shared" si="19"/>
        <v>1.221403644823571E-2</v>
      </c>
      <c r="N213" s="35"/>
    </row>
    <row r="214" spans="1:14" x14ac:dyDescent="0.2">
      <c r="A214" s="2">
        <v>38471</v>
      </c>
      <c r="B214" s="2"/>
      <c r="C214" s="21">
        <v>1727.49</v>
      </c>
      <c r="D214" s="24">
        <f t="shared" si="16"/>
        <v>-1.8967681115799495E-2</v>
      </c>
      <c r="E214" s="20"/>
      <c r="F214" s="20">
        <v>2400.4299999999998</v>
      </c>
      <c r="G214" s="24">
        <f t="shared" si="17"/>
        <v>-5.726853215513017E-2</v>
      </c>
      <c r="H214" s="20"/>
      <c r="I214" s="20">
        <v>1219.18</v>
      </c>
      <c r="J214" s="24">
        <f t="shared" si="18"/>
        <v>1.3533959597638923E-2</v>
      </c>
      <c r="K214" s="20"/>
      <c r="L214" s="20">
        <v>1392.66</v>
      </c>
      <c r="M214" s="14">
        <f t="shared" si="19"/>
        <v>1.758000876808441E-2</v>
      </c>
      <c r="N214" s="35"/>
    </row>
    <row r="215" spans="1:14" x14ac:dyDescent="0.2">
      <c r="A215" s="2">
        <v>38442</v>
      </c>
      <c r="B215" s="2"/>
      <c r="C215" s="21">
        <v>1760.89</v>
      </c>
      <c r="D215" s="24">
        <f t="shared" si="16"/>
        <v>-1.7705828865967832E-2</v>
      </c>
      <c r="E215" s="20"/>
      <c r="F215" s="20">
        <v>2546.25</v>
      </c>
      <c r="G215" s="24">
        <f t="shared" si="17"/>
        <v>-2.8627126338558462E-2</v>
      </c>
      <c r="H215" s="20"/>
      <c r="I215" s="20">
        <v>1202.9000000000001</v>
      </c>
      <c r="J215" s="24">
        <f t="shared" si="18"/>
        <v>-5.1360091306827949E-3</v>
      </c>
      <c r="K215" s="20"/>
      <c r="L215" s="20">
        <v>1368.6</v>
      </c>
      <c r="M215" s="14">
        <f t="shared" si="19"/>
        <v>-3.255478599051731E-3</v>
      </c>
      <c r="N215" s="35"/>
    </row>
    <row r="216" spans="1:14" x14ac:dyDescent="0.2">
      <c r="A216" s="2">
        <v>38411</v>
      </c>
      <c r="B216" s="2"/>
      <c r="C216" s="21">
        <v>1792.63</v>
      </c>
      <c r="D216" s="24">
        <f t="shared" si="16"/>
        <v>2.1045976487742646E-2</v>
      </c>
      <c r="E216" s="20"/>
      <c r="F216" s="20">
        <v>2621.29</v>
      </c>
      <c r="G216" s="24">
        <f t="shared" si="17"/>
        <v>1.6938039982464348E-2</v>
      </c>
      <c r="H216" s="20"/>
      <c r="I216" s="20">
        <v>1209.1099999999999</v>
      </c>
      <c r="J216" s="24">
        <f t="shared" si="18"/>
        <v>-5.9031974282449662E-3</v>
      </c>
      <c r="K216" s="20"/>
      <c r="L216" s="20">
        <v>1373.07</v>
      </c>
      <c r="M216" s="14">
        <f t="shared" si="19"/>
        <v>-8.1625576977253367E-3</v>
      </c>
      <c r="N216" s="35"/>
    </row>
    <row r="217" spans="1:14" x14ac:dyDescent="0.2">
      <c r="A217" s="2">
        <v>38383</v>
      </c>
      <c r="B217" s="2"/>
      <c r="C217" s="21">
        <v>1755.68</v>
      </c>
      <c r="D217" s="24">
        <f t="shared" si="16"/>
        <v>-2.437831680142255E-2</v>
      </c>
      <c r="E217" s="20"/>
      <c r="F217" s="20">
        <v>2577.63</v>
      </c>
      <c r="G217" s="24">
        <f t="shared" si="17"/>
        <v>-4.1723361067118714E-2</v>
      </c>
      <c r="H217" s="20"/>
      <c r="I217" s="20">
        <v>1216.29</v>
      </c>
      <c r="J217" s="24">
        <f t="shared" si="18"/>
        <v>6.2794738148423956E-3</v>
      </c>
      <c r="K217" s="20"/>
      <c r="L217" s="20">
        <v>1384.37</v>
      </c>
      <c r="M217" s="14">
        <f t="shared" si="19"/>
        <v>7.2980485178339993E-3</v>
      </c>
      <c r="N217" s="35"/>
    </row>
    <row r="218" spans="1:14" x14ac:dyDescent="0.2">
      <c r="A218" s="2">
        <v>38352</v>
      </c>
      <c r="B218" s="2"/>
      <c r="C218" s="21">
        <v>1799.55</v>
      </c>
      <c r="D218" s="24">
        <f t="shared" si="16"/>
        <v>3.402802916688219E-2</v>
      </c>
      <c r="E218" s="20"/>
      <c r="F218" s="20">
        <v>2689.86</v>
      </c>
      <c r="G218" s="24">
        <f t="shared" si="17"/>
        <v>2.9599660099596914E-2</v>
      </c>
      <c r="H218" s="20"/>
      <c r="I218" s="20">
        <v>1208.7</v>
      </c>
      <c r="J218" s="24">
        <f t="shared" si="18"/>
        <v>9.2011221695278422E-3</v>
      </c>
      <c r="K218" s="20"/>
      <c r="L218" s="20">
        <v>1374.34</v>
      </c>
      <c r="M218" s="14">
        <f t="shared" si="19"/>
        <v>9.9129220707645516E-3</v>
      </c>
      <c r="N218" s="35"/>
    </row>
    <row r="219" spans="1:14" x14ac:dyDescent="0.2">
      <c r="A219" s="2">
        <v>38321</v>
      </c>
      <c r="B219" s="2"/>
      <c r="C219" s="21">
        <v>1740.33</v>
      </c>
      <c r="D219" s="24">
        <f t="shared" si="16"/>
        <v>4.0462738767823359E-2</v>
      </c>
      <c r="E219" s="20"/>
      <c r="F219" s="20">
        <v>2612.5300000000002</v>
      </c>
      <c r="G219" s="24">
        <f t="shared" si="17"/>
        <v>8.6738407910116777E-2</v>
      </c>
      <c r="H219" s="20"/>
      <c r="I219" s="20">
        <v>1197.68</v>
      </c>
      <c r="J219" s="24">
        <f t="shared" si="18"/>
        <v>-7.9764103668484854E-3</v>
      </c>
      <c r="K219" s="20"/>
      <c r="L219" s="20">
        <v>1360.85</v>
      </c>
      <c r="M219" s="14">
        <f t="shared" si="19"/>
        <v>-1.3433571604634098E-2</v>
      </c>
      <c r="N219" s="35"/>
    </row>
    <row r="220" spans="1:14" x14ac:dyDescent="0.2">
      <c r="A220" s="2">
        <v>38289</v>
      </c>
      <c r="B220" s="2"/>
      <c r="C220" s="21">
        <v>1672.65</v>
      </c>
      <c r="D220" s="24">
        <f t="shared" si="16"/>
        <v>1.5277878942384859E-2</v>
      </c>
      <c r="E220" s="20"/>
      <c r="F220" s="20">
        <v>2404.0100000000002</v>
      </c>
      <c r="G220" s="24">
        <f t="shared" si="17"/>
        <v>1.9685273159145034E-2</v>
      </c>
      <c r="H220" s="20"/>
      <c r="I220" s="20">
        <v>1207.31</v>
      </c>
      <c r="J220" s="24">
        <f t="shared" si="18"/>
        <v>8.3857442348007627E-3</v>
      </c>
      <c r="K220" s="20"/>
      <c r="L220" s="20">
        <v>1379.38</v>
      </c>
      <c r="M220" s="14">
        <f t="shared" si="19"/>
        <v>7.9282149459640738E-3</v>
      </c>
      <c r="N220" s="35"/>
    </row>
    <row r="221" spans="1:14" x14ac:dyDescent="0.2">
      <c r="A221" s="2">
        <v>38260</v>
      </c>
      <c r="B221" s="2"/>
      <c r="C221" s="21">
        <v>1647.48</v>
      </c>
      <c r="D221" s="24">
        <f t="shared" si="16"/>
        <v>1.0829350300338048E-2</v>
      </c>
      <c r="E221" s="20"/>
      <c r="F221" s="20">
        <v>2357.6</v>
      </c>
      <c r="G221" s="24">
        <f t="shared" si="17"/>
        <v>4.6942790278388324E-2</v>
      </c>
      <c r="H221" s="20"/>
      <c r="I221" s="20">
        <v>1197.27</v>
      </c>
      <c r="J221" s="24">
        <f t="shared" si="18"/>
        <v>2.7134996608124684E-3</v>
      </c>
      <c r="K221" s="20"/>
      <c r="L221" s="20">
        <v>1368.53</v>
      </c>
      <c r="M221" s="14">
        <f t="shared" si="19"/>
        <v>2.5713908953715059E-3</v>
      </c>
      <c r="N221" s="35"/>
    </row>
    <row r="222" spans="1:14" x14ac:dyDescent="0.2">
      <c r="A222" s="2">
        <v>38230</v>
      </c>
      <c r="B222" s="2"/>
      <c r="C222" s="21">
        <v>1629.83</v>
      </c>
      <c r="D222" s="24">
        <f t="shared" si="16"/>
        <v>4.0474107659893566E-3</v>
      </c>
      <c r="E222" s="20"/>
      <c r="F222" s="20">
        <v>2251.89</v>
      </c>
      <c r="G222" s="24">
        <f t="shared" si="17"/>
        <v>-5.1380151268820562E-3</v>
      </c>
      <c r="H222" s="20"/>
      <c r="I222" s="20">
        <v>1194.03</v>
      </c>
      <c r="J222" s="24">
        <f t="shared" si="18"/>
        <v>1.9075174108971638E-2</v>
      </c>
      <c r="K222" s="20"/>
      <c r="L222" s="20">
        <v>1365.02</v>
      </c>
      <c r="M222" s="14">
        <f t="shared" si="19"/>
        <v>2.0682538733026279E-2</v>
      </c>
      <c r="N222" s="35"/>
    </row>
    <row r="223" spans="1:14" x14ac:dyDescent="0.2">
      <c r="A223" s="2">
        <v>38198</v>
      </c>
      <c r="B223" s="2"/>
      <c r="C223" s="21">
        <v>1623.26</v>
      </c>
      <c r="D223" s="24">
        <f t="shared" si="16"/>
        <v>-3.3100433039676358E-2</v>
      </c>
      <c r="E223" s="20"/>
      <c r="F223" s="20">
        <v>2263.52</v>
      </c>
      <c r="G223" s="24">
        <f t="shared" si="17"/>
        <v>-6.7331979084687132E-2</v>
      </c>
      <c r="H223" s="20"/>
      <c r="I223" s="20">
        <v>1171.68</v>
      </c>
      <c r="J223" s="24">
        <f t="shared" si="18"/>
        <v>9.9122549949146599E-3</v>
      </c>
      <c r="K223" s="20"/>
      <c r="L223" s="20">
        <v>1337.36</v>
      </c>
      <c r="M223" s="14">
        <f t="shared" si="19"/>
        <v>9.5187771277598365E-3</v>
      </c>
      <c r="N223" s="35"/>
    </row>
    <row r="224" spans="1:14" x14ac:dyDescent="0.2">
      <c r="A224" s="2">
        <v>38168</v>
      </c>
      <c r="B224" s="2"/>
      <c r="C224" s="21">
        <v>1678.83</v>
      </c>
      <c r="D224" s="24">
        <f t="shared" si="16"/>
        <v>1.9449842118047123E-2</v>
      </c>
      <c r="E224" s="20"/>
      <c r="F224" s="20">
        <v>2426.9299999999998</v>
      </c>
      <c r="G224" s="24">
        <f t="shared" si="17"/>
        <v>4.2110732289617925E-2</v>
      </c>
      <c r="H224" s="20"/>
      <c r="I224" s="20">
        <v>1160.18</v>
      </c>
      <c r="J224" s="24">
        <f t="shared" si="18"/>
        <v>5.6515784546573578E-3</v>
      </c>
      <c r="K224" s="20"/>
      <c r="L224" s="20">
        <v>1324.75</v>
      </c>
      <c r="M224" s="14">
        <f t="shared" si="19"/>
        <v>4.0168251923149434E-3</v>
      </c>
      <c r="N224" s="35"/>
    </row>
    <row r="225" spans="1:14" x14ac:dyDescent="0.2">
      <c r="A225" s="2">
        <v>38138</v>
      </c>
      <c r="B225" s="2"/>
      <c r="C225" s="21">
        <v>1646.8</v>
      </c>
      <c r="D225" s="24">
        <f t="shared" si="16"/>
        <v>1.3721060504398253E-2</v>
      </c>
      <c r="E225" s="20"/>
      <c r="F225" s="20">
        <v>2328.86</v>
      </c>
      <c r="G225" s="24">
        <f t="shared" si="17"/>
        <v>1.5918023704724948E-2</v>
      </c>
      <c r="H225" s="20"/>
      <c r="I225" s="20">
        <v>1153.6600000000001</v>
      </c>
      <c r="J225" s="24">
        <f t="shared" si="18"/>
        <v>-4.0058706725372151E-3</v>
      </c>
      <c r="K225" s="20"/>
      <c r="L225" s="20">
        <v>1319.45</v>
      </c>
      <c r="M225" s="14">
        <f t="shared" si="19"/>
        <v>-3.4365558912385907E-3</v>
      </c>
      <c r="N225" s="35"/>
    </row>
    <row r="226" spans="1:14" x14ac:dyDescent="0.2">
      <c r="A226" s="2">
        <v>38107</v>
      </c>
      <c r="B226" s="2"/>
      <c r="C226" s="21">
        <v>1624.51</v>
      </c>
      <c r="D226" s="24">
        <f t="shared" si="16"/>
        <v>-1.569903418523777E-2</v>
      </c>
      <c r="E226" s="20"/>
      <c r="F226" s="20">
        <v>2292.37</v>
      </c>
      <c r="G226" s="24">
        <f t="shared" si="17"/>
        <v>-5.0982811154534069E-2</v>
      </c>
      <c r="H226" s="20"/>
      <c r="I226" s="20">
        <v>1158.3</v>
      </c>
      <c r="J226" s="24">
        <f t="shared" si="18"/>
        <v>-2.6016615653694841E-2</v>
      </c>
      <c r="K226" s="20"/>
      <c r="L226" s="20">
        <v>1324</v>
      </c>
      <c r="M226" s="14">
        <f t="shared" si="19"/>
        <v>-3.2163742690058506E-2</v>
      </c>
      <c r="N226" s="35"/>
    </row>
    <row r="227" spans="1:14" x14ac:dyDescent="0.2">
      <c r="A227" s="2">
        <v>38077</v>
      </c>
      <c r="B227" s="2"/>
      <c r="C227" s="21">
        <v>1650.42</v>
      </c>
      <c r="D227" s="24">
        <f t="shared" si="16"/>
        <v>-1.5086232619203943E-2</v>
      </c>
      <c r="E227" s="20"/>
      <c r="F227" s="20">
        <v>2415.52</v>
      </c>
      <c r="G227" s="24">
        <f t="shared" si="17"/>
        <v>9.3179899883839568E-3</v>
      </c>
      <c r="H227" s="20"/>
      <c r="I227" s="20">
        <v>1189.24</v>
      </c>
      <c r="J227" s="24">
        <f t="shared" si="18"/>
        <v>7.4889867841410052E-3</v>
      </c>
      <c r="K227" s="20"/>
      <c r="L227" s="20">
        <v>1368</v>
      </c>
      <c r="M227" s="14">
        <f t="shared" si="19"/>
        <v>9.3855144324419548E-3</v>
      </c>
      <c r="N227" s="35"/>
    </row>
    <row r="228" spans="1:14" x14ac:dyDescent="0.2">
      <c r="A228" s="2">
        <v>38044</v>
      </c>
      <c r="B228" s="2"/>
      <c r="C228" s="21">
        <v>1675.7</v>
      </c>
      <c r="D228" s="24">
        <f t="shared" si="16"/>
        <v>1.389821688963111E-2</v>
      </c>
      <c r="E228" s="20"/>
      <c r="F228" s="20">
        <v>2393.2199999999998</v>
      </c>
      <c r="G228" s="24">
        <f t="shared" si="17"/>
        <v>8.963051653484877E-3</v>
      </c>
      <c r="H228" s="20"/>
      <c r="I228" s="20">
        <v>1180.4000000000001</v>
      </c>
      <c r="J228" s="24">
        <f t="shared" si="18"/>
        <v>1.0824141946975452E-2</v>
      </c>
      <c r="K228" s="20"/>
      <c r="L228" s="20">
        <v>1355.28</v>
      </c>
      <c r="M228" s="14">
        <f t="shared" si="19"/>
        <v>1.2392712278421314E-2</v>
      </c>
      <c r="N228" s="35"/>
    </row>
    <row r="229" spans="1:14" x14ac:dyDescent="0.2">
      <c r="A229" s="2">
        <v>38016</v>
      </c>
      <c r="B229" s="2"/>
      <c r="C229" s="21">
        <v>1652.73</v>
      </c>
      <c r="D229" s="24">
        <f t="shared" si="16"/>
        <v>1.8355576915967342E-2</v>
      </c>
      <c r="E229" s="20"/>
      <c r="F229" s="20">
        <v>2371.96</v>
      </c>
      <c r="G229" s="24">
        <f t="shared" si="17"/>
        <v>4.3445363364420286E-2</v>
      </c>
      <c r="H229" s="20"/>
      <c r="I229" s="20">
        <v>1167.76</v>
      </c>
      <c r="J229" s="24">
        <f t="shared" si="18"/>
        <v>8.0453023030973014E-3</v>
      </c>
      <c r="K229" s="20"/>
      <c r="L229" s="20">
        <v>1338.69</v>
      </c>
      <c r="M229" s="14">
        <f t="shared" si="19"/>
        <v>8.5205442299869372E-3</v>
      </c>
      <c r="N229" s="35"/>
    </row>
    <row r="230" spans="1:14" x14ac:dyDescent="0.2">
      <c r="A230" s="2">
        <v>37986</v>
      </c>
      <c r="B230" s="2"/>
      <c r="C230" s="21">
        <v>1622.94</v>
      </c>
      <c r="D230" s="24">
        <f t="shared" si="16"/>
        <v>5.2442496125338023E-2</v>
      </c>
      <c r="E230" s="20"/>
      <c r="F230" s="20">
        <v>2273.1999999999998</v>
      </c>
      <c r="G230" s="24">
        <f t="shared" si="17"/>
        <v>2.0291832548620103E-2</v>
      </c>
      <c r="H230" s="20"/>
      <c r="I230" s="20">
        <v>1158.44</v>
      </c>
      <c r="J230" s="24">
        <f t="shared" si="18"/>
        <v>1.0176408521325175E-2</v>
      </c>
      <c r="K230" s="20"/>
      <c r="L230" s="20">
        <v>1327.38</v>
      </c>
      <c r="M230" s="14">
        <f t="shared" si="19"/>
        <v>8.8544002188899462E-3</v>
      </c>
      <c r="N230" s="35"/>
    </row>
    <row r="231" spans="1:14" x14ac:dyDescent="0.2">
      <c r="A231" s="2">
        <v>37953</v>
      </c>
      <c r="B231" s="2"/>
      <c r="C231" s="21">
        <v>1542.07</v>
      </c>
      <c r="D231" s="24">
        <f t="shared" si="16"/>
        <v>8.7987858329736657E-3</v>
      </c>
      <c r="E231" s="20"/>
      <c r="F231" s="20">
        <v>2227.9899999999998</v>
      </c>
      <c r="G231" s="24">
        <f t="shared" si="17"/>
        <v>3.548456061422911E-2</v>
      </c>
      <c r="H231" s="20"/>
      <c r="I231" s="20">
        <v>1146.77</v>
      </c>
      <c r="J231" s="24">
        <f t="shared" si="18"/>
        <v>2.3950420880571865E-3</v>
      </c>
      <c r="K231" s="20"/>
      <c r="L231" s="20">
        <v>1315.73</v>
      </c>
      <c r="M231" s="14">
        <f t="shared" si="19"/>
        <v>1.2480119322118011E-3</v>
      </c>
      <c r="N231" s="35"/>
    </row>
    <row r="232" spans="1:14" x14ac:dyDescent="0.2">
      <c r="A232" s="2">
        <v>37925</v>
      </c>
      <c r="B232" s="2"/>
      <c r="C232" s="21">
        <v>1528.62</v>
      </c>
      <c r="D232" s="24">
        <f t="shared" si="16"/>
        <v>5.6574299992396826E-2</v>
      </c>
      <c r="E232" s="20"/>
      <c r="F232" s="20">
        <v>2151.64</v>
      </c>
      <c r="G232" s="24">
        <f t="shared" si="17"/>
        <v>8.397692637094134E-2</v>
      </c>
      <c r="H232" s="20"/>
      <c r="I232" s="20">
        <v>1144.03</v>
      </c>
      <c r="J232" s="24">
        <f t="shared" si="18"/>
        <v>-9.3262902667128333E-3</v>
      </c>
      <c r="K232" s="20"/>
      <c r="L232" s="20">
        <v>1314.09</v>
      </c>
      <c r="M232" s="14">
        <f t="shared" si="19"/>
        <v>-1.5257222076511034E-2</v>
      </c>
      <c r="N232" s="35"/>
    </row>
    <row r="233" spans="1:14" x14ac:dyDescent="0.2">
      <c r="A233" s="2">
        <v>37894</v>
      </c>
      <c r="B233" s="2"/>
      <c r="C233" s="21">
        <v>1446.77</v>
      </c>
      <c r="D233" s="24">
        <f t="shared" si="16"/>
        <v>-1.0620255761471631E-2</v>
      </c>
      <c r="E233" s="20"/>
      <c r="F233" s="20">
        <v>1984.95</v>
      </c>
      <c r="G233" s="24">
        <f t="shared" si="17"/>
        <v>-1.8459362699527193E-2</v>
      </c>
      <c r="H233" s="20"/>
      <c r="I233" s="20">
        <v>1154.8</v>
      </c>
      <c r="J233" s="24">
        <f t="shared" si="18"/>
        <v>2.6470640521946143E-2</v>
      </c>
      <c r="K233" s="20"/>
      <c r="L233" s="20">
        <v>1334.45</v>
      </c>
      <c r="M233" s="14">
        <f t="shared" si="19"/>
        <v>3.0153081311419694E-2</v>
      </c>
      <c r="N233" s="35"/>
    </row>
    <row r="234" spans="1:14" x14ac:dyDescent="0.2">
      <c r="A234" s="2">
        <v>37862</v>
      </c>
      <c r="B234" s="2"/>
      <c r="C234" s="21">
        <v>1462.3</v>
      </c>
      <c r="D234" s="24">
        <f t="shared" si="16"/>
        <v>1.950039391214009E-2</v>
      </c>
      <c r="E234" s="20"/>
      <c r="F234" s="20">
        <v>2022.28</v>
      </c>
      <c r="G234" s="24">
        <f t="shared" si="17"/>
        <v>4.5851821971224949E-2</v>
      </c>
      <c r="H234" s="20"/>
      <c r="I234" s="20">
        <v>1125.02</v>
      </c>
      <c r="J234" s="24">
        <f t="shared" si="18"/>
        <v>6.6392269148174421E-3</v>
      </c>
      <c r="K234" s="20"/>
      <c r="L234" s="20">
        <v>1295.3900000000001</v>
      </c>
      <c r="M234" s="14">
        <f t="shared" si="19"/>
        <v>5.932828576975524E-3</v>
      </c>
      <c r="N234" s="35"/>
    </row>
    <row r="235" spans="1:14" x14ac:dyDescent="0.2">
      <c r="A235" s="2">
        <v>37833</v>
      </c>
      <c r="B235" s="2"/>
      <c r="C235" s="21">
        <v>1434.33</v>
      </c>
      <c r="D235" s="24">
        <f t="shared" si="16"/>
        <v>1.7630615546158745E-2</v>
      </c>
      <c r="E235" s="20"/>
      <c r="F235" s="20">
        <v>1933.62</v>
      </c>
      <c r="G235" s="24">
        <f t="shared" si="17"/>
        <v>6.2568690376752834E-2</v>
      </c>
      <c r="H235" s="20"/>
      <c r="I235" s="20">
        <v>1117.5999999999999</v>
      </c>
      <c r="J235" s="24">
        <f t="shared" si="18"/>
        <v>-3.3619258439402389E-2</v>
      </c>
      <c r="K235" s="20"/>
      <c r="L235" s="20">
        <v>1287.75</v>
      </c>
      <c r="M235" s="14">
        <f t="shared" si="19"/>
        <v>-4.3922756531616924E-2</v>
      </c>
      <c r="N235" s="35"/>
    </row>
    <row r="236" spans="1:14" x14ac:dyDescent="0.2">
      <c r="A236" s="2">
        <v>37802</v>
      </c>
      <c r="B236" s="2"/>
      <c r="C236" s="21">
        <v>1409.48</v>
      </c>
      <c r="D236" s="24">
        <f t="shared" si="16"/>
        <v>1.2761187595205836E-2</v>
      </c>
      <c r="E236" s="20"/>
      <c r="F236" s="20">
        <v>1819.76</v>
      </c>
      <c r="G236" s="24">
        <f t="shared" si="17"/>
        <v>1.8098813366826727E-2</v>
      </c>
      <c r="H236" s="20"/>
      <c r="I236" s="20">
        <v>1156.48</v>
      </c>
      <c r="J236" s="24">
        <f t="shared" si="18"/>
        <v>-1.9848461312759191E-3</v>
      </c>
      <c r="K236" s="20"/>
      <c r="L236" s="20">
        <v>1346.91</v>
      </c>
      <c r="M236" s="14">
        <f t="shared" si="19"/>
        <v>-6.1245120682402732E-3</v>
      </c>
      <c r="N236" s="35"/>
    </row>
    <row r="237" spans="1:14" x14ac:dyDescent="0.2">
      <c r="A237" s="2">
        <v>37771</v>
      </c>
      <c r="B237" s="2"/>
      <c r="C237" s="21">
        <v>1391.72</v>
      </c>
      <c r="D237" s="24">
        <f t="shared" si="16"/>
        <v>5.2682535720498969E-2</v>
      </c>
      <c r="E237" s="20"/>
      <c r="F237" s="20">
        <v>1787.41</v>
      </c>
      <c r="G237" s="24">
        <f t="shared" si="17"/>
        <v>0.10731078745376932</v>
      </c>
      <c r="H237" s="20"/>
      <c r="I237" s="20">
        <v>1158.78</v>
      </c>
      <c r="J237" s="24">
        <f t="shared" si="18"/>
        <v>1.8645006461140978E-2</v>
      </c>
      <c r="K237" s="20"/>
      <c r="L237" s="20">
        <v>1355.21</v>
      </c>
      <c r="M237" s="14">
        <f t="shared" si="19"/>
        <v>2.8841044016944872E-2</v>
      </c>
      <c r="N237" s="35"/>
    </row>
    <row r="238" spans="1:14" x14ac:dyDescent="0.2">
      <c r="A238" s="2">
        <v>37741</v>
      </c>
      <c r="B238" s="2"/>
      <c r="C238" s="21">
        <v>1322.07</v>
      </c>
      <c r="D238" s="24">
        <f t="shared" si="16"/>
        <v>8.2368640806903093E-2</v>
      </c>
      <c r="E238" s="20"/>
      <c r="F238" s="20">
        <v>1614.19</v>
      </c>
      <c r="G238" s="24">
        <f t="shared" si="17"/>
        <v>9.4818874246298535E-2</v>
      </c>
      <c r="H238" s="20"/>
      <c r="I238" s="20">
        <v>1137.57</v>
      </c>
      <c r="J238" s="24">
        <f t="shared" si="18"/>
        <v>8.2516441245812366E-3</v>
      </c>
      <c r="K238" s="20"/>
      <c r="L238" s="20">
        <v>1317.22</v>
      </c>
      <c r="M238" s="14">
        <f t="shared" si="19"/>
        <v>4.6525108304351637E-3</v>
      </c>
      <c r="N238" s="35"/>
    </row>
    <row r="239" spans="1:14" x14ac:dyDescent="0.2">
      <c r="A239" s="2">
        <v>37711</v>
      </c>
      <c r="B239" s="2"/>
      <c r="C239" s="21">
        <v>1221.46</v>
      </c>
      <c r="D239" s="24">
        <f t="shared" si="16"/>
        <v>9.7130717279347856E-3</v>
      </c>
      <c r="E239" s="20"/>
      <c r="F239" s="20">
        <v>1474.39</v>
      </c>
      <c r="G239" s="24">
        <f t="shared" si="17"/>
        <v>1.2873973826125873E-2</v>
      </c>
      <c r="H239" s="20"/>
      <c r="I239" s="20">
        <v>1128.26</v>
      </c>
      <c r="J239" s="24">
        <f t="shared" si="18"/>
        <v>-7.7050472487683042E-4</v>
      </c>
      <c r="K239" s="20"/>
      <c r="L239" s="20">
        <v>1311.12</v>
      </c>
      <c r="M239" s="14">
        <f t="shared" si="19"/>
        <v>-4.1622360625854782E-3</v>
      </c>
      <c r="N239" s="35"/>
    </row>
    <row r="240" spans="1:14" x14ac:dyDescent="0.2">
      <c r="A240" s="2">
        <v>37680</v>
      </c>
      <c r="B240" s="2"/>
      <c r="C240" s="21">
        <v>1209.71</v>
      </c>
      <c r="D240" s="24">
        <f t="shared" si="16"/>
        <v>-1.5006432491409871E-2</v>
      </c>
      <c r="E240" s="20"/>
      <c r="F240" s="20">
        <v>1455.65</v>
      </c>
      <c r="G240" s="24">
        <f t="shared" si="17"/>
        <v>-3.0213191205862744E-2</v>
      </c>
      <c r="H240" s="20"/>
      <c r="I240" s="20">
        <v>1129.1300000000001</v>
      </c>
      <c r="J240" s="24">
        <f t="shared" si="18"/>
        <v>1.3836511870128909E-2</v>
      </c>
      <c r="K240" s="20"/>
      <c r="L240" s="20">
        <v>1316.6</v>
      </c>
      <c r="M240" s="14">
        <f t="shared" si="19"/>
        <v>1.720581304613189E-2</v>
      </c>
      <c r="N240" s="35"/>
    </row>
    <row r="241" spans="1:14" x14ac:dyDescent="0.2">
      <c r="A241" s="2">
        <v>37652</v>
      </c>
      <c r="B241" s="2"/>
      <c r="C241" s="21">
        <v>1228.1400000000001</v>
      </c>
      <c r="D241" s="24">
        <f t="shared" si="16"/>
        <v>-2.6197687879604747E-2</v>
      </c>
      <c r="E241" s="20"/>
      <c r="F241" s="20">
        <v>1501</v>
      </c>
      <c r="G241" s="24">
        <f t="shared" si="17"/>
        <v>-2.7679710830261772E-2</v>
      </c>
      <c r="H241" s="20"/>
      <c r="I241" s="20">
        <v>1113.72</v>
      </c>
      <c r="J241" s="24">
        <f t="shared" si="18"/>
        <v>8.53725387995663E-4</v>
      </c>
      <c r="K241" s="20"/>
      <c r="L241" s="20">
        <v>1294.33</v>
      </c>
      <c r="M241" s="14">
        <f t="shared" si="19"/>
        <v>-3.0424869827772039E-3</v>
      </c>
      <c r="N241" s="35"/>
    </row>
    <row r="242" spans="1:14" x14ac:dyDescent="0.2">
      <c r="A242" s="2">
        <v>37621</v>
      </c>
      <c r="B242" s="2"/>
      <c r="C242" s="21">
        <v>1261.18</v>
      </c>
      <c r="D242" s="24">
        <f t="shared" si="16"/>
        <v>-5.8743628208285825E-2</v>
      </c>
      <c r="E242" s="20"/>
      <c r="F242" s="20">
        <v>1543.73</v>
      </c>
      <c r="G242" s="24">
        <f t="shared" si="17"/>
        <v>-5.5678238262731328E-2</v>
      </c>
      <c r="H242" s="20"/>
      <c r="I242" s="20">
        <v>1112.77</v>
      </c>
      <c r="J242" s="24">
        <f t="shared" si="18"/>
        <v>2.0655812886952507E-2</v>
      </c>
      <c r="K242" s="20"/>
      <c r="L242" s="20">
        <v>1298.28</v>
      </c>
      <c r="M242" s="14">
        <f t="shared" si="19"/>
        <v>2.5983878615457368E-2</v>
      </c>
      <c r="N242" s="35"/>
    </row>
    <row r="243" spans="1:14" x14ac:dyDescent="0.2">
      <c r="A243" s="2">
        <v>37589</v>
      </c>
      <c r="B243" s="2"/>
      <c r="C243" s="21">
        <v>1339.89</v>
      </c>
      <c r="D243" s="24">
        <f t="shared" si="16"/>
        <v>5.8858393722192925E-2</v>
      </c>
      <c r="E243" s="20"/>
      <c r="F243" s="20">
        <v>1634.75</v>
      </c>
      <c r="G243" s="24">
        <f t="shared" si="17"/>
        <v>8.9245140957216584E-2</v>
      </c>
      <c r="H243" s="20"/>
      <c r="I243" s="20">
        <v>1090.25</v>
      </c>
      <c r="J243" s="24">
        <f t="shared" si="18"/>
        <v>-2.6592330405117437E-4</v>
      </c>
      <c r="K243" s="20"/>
      <c r="L243" s="20">
        <v>1265.4000000000001</v>
      </c>
      <c r="M243" s="14">
        <f t="shared" si="19"/>
        <v>-9.9056382329466564E-3</v>
      </c>
      <c r="N243" s="35"/>
    </row>
    <row r="244" spans="1:14" x14ac:dyDescent="0.2">
      <c r="A244" s="2">
        <v>37560</v>
      </c>
      <c r="B244" s="2"/>
      <c r="C244" s="21">
        <v>1265.4100000000001</v>
      </c>
      <c r="D244" s="24">
        <f t="shared" si="16"/>
        <v>8.8019328655936313E-2</v>
      </c>
      <c r="E244" s="20"/>
      <c r="F244" s="20">
        <v>1500.81</v>
      </c>
      <c r="G244" s="24">
        <f t="shared" si="17"/>
        <v>3.20590844387596E-2</v>
      </c>
      <c r="H244" s="20"/>
      <c r="I244" s="20">
        <v>1090.54</v>
      </c>
      <c r="J244" s="24">
        <f t="shared" si="18"/>
        <v>-4.5548729838525981E-3</v>
      </c>
      <c r="K244" s="20"/>
      <c r="L244" s="20">
        <v>1278.06</v>
      </c>
      <c r="M244" s="14">
        <f t="shared" si="19"/>
        <v>-1.1065028320282222E-2</v>
      </c>
      <c r="N244" s="35"/>
    </row>
    <row r="245" spans="1:14" x14ac:dyDescent="0.2">
      <c r="A245" s="2">
        <v>37529</v>
      </c>
      <c r="B245" s="2"/>
      <c r="C245" s="21">
        <v>1163.04</v>
      </c>
      <c r="D245" s="24">
        <f t="shared" si="16"/>
        <v>-0.10868598930153417</v>
      </c>
      <c r="E245" s="20"/>
      <c r="F245" s="20">
        <v>1454.19</v>
      </c>
      <c r="G245" s="24">
        <f t="shared" si="17"/>
        <v>-7.1813365673070728E-2</v>
      </c>
      <c r="H245" s="20"/>
      <c r="I245" s="20">
        <v>1095.53</v>
      </c>
      <c r="J245" s="24">
        <f t="shared" si="18"/>
        <v>1.6195608819464358E-2</v>
      </c>
      <c r="K245" s="20"/>
      <c r="L245" s="20">
        <v>1292.3599999999999</v>
      </c>
      <c r="M245" s="14">
        <f t="shared" si="19"/>
        <v>2.6962167144775506E-2</v>
      </c>
      <c r="N245" s="35"/>
    </row>
    <row r="246" spans="1:14" x14ac:dyDescent="0.2">
      <c r="A246" s="2">
        <v>37498</v>
      </c>
      <c r="B246" s="2"/>
      <c r="C246" s="21">
        <v>1304.8599999999999</v>
      </c>
      <c r="D246" s="24">
        <f t="shared" si="16"/>
        <v>6.5723498464909103E-3</v>
      </c>
      <c r="E246" s="20"/>
      <c r="F246" s="20">
        <v>1566.7</v>
      </c>
      <c r="G246" s="24">
        <f t="shared" si="17"/>
        <v>-2.5466352581651197E-3</v>
      </c>
      <c r="H246" s="20"/>
      <c r="I246" s="20">
        <v>1078.07</v>
      </c>
      <c r="J246" s="24">
        <f t="shared" si="18"/>
        <v>1.6884084627937002E-2</v>
      </c>
      <c r="K246" s="20"/>
      <c r="L246" s="20">
        <v>1258.43</v>
      </c>
      <c r="M246" s="14">
        <f t="shared" si="19"/>
        <v>2.1618769280727479E-2</v>
      </c>
      <c r="N246" s="35"/>
    </row>
    <row r="247" spans="1:14" x14ac:dyDescent="0.2">
      <c r="A247" s="2">
        <v>37468</v>
      </c>
      <c r="B247" s="2"/>
      <c r="C247" s="21">
        <v>1296.3399999999999</v>
      </c>
      <c r="D247" s="24">
        <f t="shared" si="16"/>
        <v>-7.7954962516181392E-2</v>
      </c>
      <c r="E247" s="20"/>
      <c r="F247" s="20">
        <v>1570.7</v>
      </c>
      <c r="G247" s="24">
        <f t="shared" si="17"/>
        <v>-0.15102804142434001</v>
      </c>
      <c r="H247" s="20"/>
      <c r="I247" s="20">
        <v>1060.17</v>
      </c>
      <c r="J247" s="24">
        <f t="shared" si="18"/>
        <v>1.2066480196271323E-2</v>
      </c>
      <c r="K247" s="20"/>
      <c r="L247" s="20">
        <v>1231.8</v>
      </c>
      <c r="M247" s="14">
        <f t="shared" si="19"/>
        <v>2.3693373999617684E-2</v>
      </c>
      <c r="N247" s="35"/>
    </row>
    <row r="248" spans="1:14" x14ac:dyDescent="0.2">
      <c r="A248" s="2">
        <v>37435</v>
      </c>
      <c r="B248" s="2"/>
      <c r="C248" s="21">
        <v>1405.94</v>
      </c>
      <c r="D248" s="24">
        <f t="shared" si="16"/>
        <v>-7.123275002146956E-2</v>
      </c>
      <c r="E248" s="20"/>
      <c r="F248" s="20">
        <v>1850.12</v>
      </c>
      <c r="G248" s="24">
        <f t="shared" si="17"/>
        <v>-4.961704619588958E-2</v>
      </c>
      <c r="H248" s="20"/>
      <c r="I248" s="20">
        <v>1047.53</v>
      </c>
      <c r="J248" s="24">
        <f t="shared" si="18"/>
        <v>8.6466708391508273E-3</v>
      </c>
      <c r="K248" s="20"/>
      <c r="L248" s="20">
        <v>1203.29</v>
      </c>
      <c r="M248" s="14">
        <f t="shared" si="19"/>
        <v>1.4116675375461352E-2</v>
      </c>
      <c r="N248" s="35"/>
    </row>
    <row r="249" spans="1:14" x14ac:dyDescent="0.2">
      <c r="A249" s="2">
        <v>37407</v>
      </c>
      <c r="B249" s="2"/>
      <c r="C249" s="21">
        <v>1513.77</v>
      </c>
      <c r="D249" s="24">
        <f t="shared" si="16"/>
        <v>-7.3639344262295126E-3</v>
      </c>
      <c r="E249" s="20"/>
      <c r="F249" s="20">
        <v>1946.71</v>
      </c>
      <c r="G249" s="24">
        <f t="shared" si="17"/>
        <v>-4.4381283380458658E-2</v>
      </c>
      <c r="H249" s="20"/>
      <c r="I249" s="20">
        <v>1038.55</v>
      </c>
      <c r="J249" s="24">
        <f t="shared" si="18"/>
        <v>8.4967954942707369E-3</v>
      </c>
      <c r="K249" s="20"/>
      <c r="L249" s="20">
        <v>1186.54</v>
      </c>
      <c r="M249" s="14">
        <f t="shared" si="19"/>
        <v>5.6020272389039061E-3</v>
      </c>
      <c r="N249" s="35"/>
    </row>
    <row r="250" spans="1:14" x14ac:dyDescent="0.2">
      <c r="A250" s="2">
        <v>37376</v>
      </c>
      <c r="B250" s="2"/>
      <c r="C250" s="21">
        <v>1525</v>
      </c>
      <c r="D250" s="24">
        <f t="shared" si="16"/>
        <v>-6.0630886456453315E-2</v>
      </c>
      <c r="E250" s="20"/>
      <c r="F250" s="20">
        <v>2037.12</v>
      </c>
      <c r="G250" s="24">
        <f t="shared" si="17"/>
        <v>9.1096877739964555E-3</v>
      </c>
      <c r="H250" s="20"/>
      <c r="I250" s="20">
        <v>1029.8</v>
      </c>
      <c r="J250" s="24">
        <f t="shared" si="18"/>
        <v>1.9392007602379691E-2</v>
      </c>
      <c r="K250" s="20"/>
      <c r="L250" s="20">
        <v>1179.93</v>
      </c>
      <c r="M250" s="14">
        <f t="shared" si="19"/>
        <v>2.4876442946607735E-2</v>
      </c>
      <c r="N250" s="35"/>
    </row>
    <row r="251" spans="1:14" x14ac:dyDescent="0.2">
      <c r="A251" s="2">
        <v>37344</v>
      </c>
      <c r="B251" s="2"/>
      <c r="C251" s="21">
        <v>1623.43</v>
      </c>
      <c r="D251" s="24">
        <f t="shared" si="16"/>
        <v>3.7607296480228092E-2</v>
      </c>
      <c r="E251" s="20"/>
      <c r="F251" s="20">
        <v>2018.73</v>
      </c>
      <c r="G251" s="24">
        <f t="shared" si="17"/>
        <v>8.037248133579511E-2</v>
      </c>
      <c r="H251" s="20"/>
      <c r="I251" s="20">
        <v>1010.21</v>
      </c>
      <c r="J251" s="24">
        <f t="shared" si="18"/>
        <v>-1.663584152633113E-2</v>
      </c>
      <c r="K251" s="20"/>
      <c r="L251" s="20">
        <v>1151.29</v>
      </c>
      <c r="M251" s="14">
        <f t="shared" si="19"/>
        <v>-2.4057575423635513E-2</v>
      </c>
      <c r="N251" s="35"/>
    </row>
    <row r="252" spans="1:14" x14ac:dyDescent="0.2">
      <c r="A252" s="2">
        <v>37315</v>
      </c>
      <c r="B252" s="2"/>
      <c r="C252" s="21">
        <v>1564.59</v>
      </c>
      <c r="D252" s="24">
        <f t="shared" si="16"/>
        <v>-1.9281035509449373E-2</v>
      </c>
      <c r="E252" s="20"/>
      <c r="F252" s="20">
        <v>1868.55</v>
      </c>
      <c r="G252" s="24">
        <f t="shared" si="17"/>
        <v>-2.740474703310436E-2</v>
      </c>
      <c r="H252" s="20"/>
      <c r="I252" s="20">
        <v>1027.3</v>
      </c>
      <c r="J252" s="24">
        <f t="shared" si="18"/>
        <v>9.6909891492371614E-3</v>
      </c>
      <c r="K252" s="20"/>
      <c r="L252" s="20">
        <v>1179.67</v>
      </c>
      <c r="M252" s="14">
        <f t="shared" si="19"/>
        <v>9.0066202507825821E-3</v>
      </c>
      <c r="N252" s="35"/>
    </row>
    <row r="253" spans="1:14" x14ac:dyDescent="0.2">
      <c r="A253" s="2">
        <v>37287</v>
      </c>
      <c r="B253" s="2"/>
      <c r="C253" s="21">
        <v>1595.35</v>
      </c>
      <c r="D253" s="24">
        <f t="shared" si="16"/>
        <v>-1.4595609581341429E-2</v>
      </c>
      <c r="E253" s="20"/>
      <c r="F253" s="20">
        <v>1921.2</v>
      </c>
      <c r="G253" s="24">
        <f t="shared" si="17"/>
        <v>-1.0399765116746229E-2</v>
      </c>
      <c r="H253" s="20"/>
      <c r="I253" s="20">
        <v>1017.44</v>
      </c>
      <c r="J253" s="24">
        <f t="shared" si="18"/>
        <v>8.0949597233643811E-3</v>
      </c>
      <c r="K253" s="20"/>
      <c r="L253" s="20">
        <v>1169.1400000000001</v>
      </c>
      <c r="M253" s="14">
        <f t="shared" si="19"/>
        <v>6.7337168050152219E-3</v>
      </c>
      <c r="N253" s="35"/>
    </row>
    <row r="254" spans="1:14" x14ac:dyDescent="0.2">
      <c r="A254" s="2">
        <v>37256</v>
      </c>
      <c r="B254" s="2"/>
      <c r="C254" s="21">
        <v>1618.98</v>
      </c>
      <c r="D254" s="24">
        <f t="shared" si="16"/>
        <v>8.7605612740822014E-3</v>
      </c>
      <c r="E254" s="20"/>
      <c r="F254" s="20">
        <v>1941.39</v>
      </c>
      <c r="G254" s="24">
        <f t="shared" si="17"/>
        <v>6.1721710882512326E-2</v>
      </c>
      <c r="H254" s="20"/>
      <c r="I254" s="20">
        <v>1009.27</v>
      </c>
      <c r="J254" s="24">
        <f t="shared" si="18"/>
        <v>-6.3501752451463611E-3</v>
      </c>
      <c r="K254" s="20"/>
      <c r="L254" s="20">
        <v>1161.32</v>
      </c>
      <c r="M254" s="14">
        <f t="shared" si="19"/>
        <v>-9.7378788137183481E-3</v>
      </c>
      <c r="N254" s="35"/>
    </row>
    <row r="255" spans="1:14" x14ac:dyDescent="0.2">
      <c r="A255" s="2">
        <v>37225</v>
      </c>
      <c r="B255" s="2"/>
      <c r="C255" s="21">
        <v>1604.92</v>
      </c>
      <c r="D255" s="24">
        <f t="shared" si="16"/>
        <v>7.6708395389714079E-2</v>
      </c>
      <c r="E255" s="20"/>
      <c r="F255" s="20">
        <v>1828.53</v>
      </c>
      <c r="G255" s="24">
        <f t="shared" si="17"/>
        <v>7.7418480502492448E-2</v>
      </c>
      <c r="H255" s="20"/>
      <c r="I255" s="20">
        <v>1015.72</v>
      </c>
      <c r="J255" s="24">
        <f t="shared" si="18"/>
        <v>-1.3787478639117667E-2</v>
      </c>
      <c r="K255" s="20"/>
      <c r="L255" s="20">
        <v>1172.74</v>
      </c>
      <c r="M255" s="14">
        <f t="shared" si="19"/>
        <v>-2.4756550881073758E-2</v>
      </c>
      <c r="N255" s="35"/>
    </row>
    <row r="256" spans="1:14" x14ac:dyDescent="0.2">
      <c r="A256" s="2">
        <v>37195</v>
      </c>
      <c r="B256" s="2"/>
      <c r="C256" s="21">
        <v>1490.58</v>
      </c>
      <c r="D256" s="24">
        <f t="shared" si="16"/>
        <v>1.9067608310715078E-2</v>
      </c>
      <c r="E256" s="20"/>
      <c r="F256" s="20">
        <v>1697.14</v>
      </c>
      <c r="G256" s="24">
        <f t="shared" si="17"/>
        <v>5.8516079135793264E-2</v>
      </c>
      <c r="H256" s="20"/>
      <c r="I256" s="20">
        <v>1029.92</v>
      </c>
      <c r="J256" s="24">
        <f t="shared" si="18"/>
        <v>2.0925645066960152E-2</v>
      </c>
      <c r="K256" s="20"/>
      <c r="L256" s="20">
        <v>1202.51</v>
      </c>
      <c r="M256" s="14">
        <f t="shared" si="19"/>
        <v>2.7698487308777109E-2</v>
      </c>
      <c r="N256" s="35"/>
    </row>
    <row r="257" spans="1:14" x14ac:dyDescent="0.2">
      <c r="A257" s="2">
        <v>37162</v>
      </c>
      <c r="B257" s="2"/>
      <c r="C257" s="21">
        <v>1462.69</v>
      </c>
      <c r="D257" s="24">
        <f t="shared" si="16"/>
        <v>-8.0751392048668325E-2</v>
      </c>
      <c r="E257" s="20"/>
      <c r="F257" s="20">
        <v>1603.32</v>
      </c>
      <c r="G257" s="24">
        <f t="shared" si="17"/>
        <v>-0.13461289347553873</v>
      </c>
      <c r="H257" s="20"/>
      <c r="I257" s="20">
        <v>1008.81</v>
      </c>
      <c r="J257" s="24">
        <f t="shared" si="18"/>
        <v>1.1652744211233523E-2</v>
      </c>
      <c r="K257" s="20"/>
      <c r="L257" s="20">
        <v>1170.0999999999999</v>
      </c>
      <c r="M257" s="14">
        <f t="shared" si="19"/>
        <v>1.5870535326700352E-2</v>
      </c>
      <c r="N257" s="35"/>
    </row>
    <row r="258" spans="1:14" x14ac:dyDescent="0.2">
      <c r="A258" s="2">
        <v>37134</v>
      </c>
      <c r="B258" s="2"/>
      <c r="C258" s="21">
        <v>1591.18</v>
      </c>
      <c r="D258" s="24">
        <f t="shared" si="16"/>
        <v>-6.260567321570587E-2</v>
      </c>
      <c r="E258" s="20"/>
      <c r="F258" s="20">
        <v>1852.72</v>
      </c>
      <c r="G258" s="24">
        <f t="shared" si="17"/>
        <v>-3.2294795121568964E-2</v>
      </c>
      <c r="H258" s="20"/>
      <c r="I258" s="20">
        <v>997.19</v>
      </c>
      <c r="J258" s="24">
        <f t="shared" si="18"/>
        <v>1.145146566588906E-2</v>
      </c>
      <c r="K258" s="20"/>
      <c r="L258" s="20">
        <v>1151.82</v>
      </c>
      <c r="M258" s="14">
        <f t="shared" si="19"/>
        <v>1.3248179035152408E-2</v>
      </c>
      <c r="N258" s="35"/>
    </row>
    <row r="259" spans="1:14" x14ac:dyDescent="0.2">
      <c r="A259" s="2">
        <v>37103</v>
      </c>
      <c r="B259" s="2"/>
      <c r="C259" s="21">
        <v>1697.45</v>
      </c>
      <c r="D259" s="24">
        <f t="shared" si="16"/>
        <v>-9.8406365206028523E-3</v>
      </c>
      <c r="E259" s="20"/>
      <c r="F259" s="20">
        <v>1914.55</v>
      </c>
      <c r="G259" s="24">
        <f t="shared" si="17"/>
        <v>-5.4132166077110022E-2</v>
      </c>
      <c r="H259" s="20"/>
      <c r="I259" s="20">
        <v>985.9</v>
      </c>
      <c r="J259" s="24">
        <f t="shared" si="18"/>
        <v>2.2357259887591407E-2</v>
      </c>
      <c r="K259" s="20"/>
      <c r="L259" s="20">
        <v>1136.76</v>
      </c>
      <c r="M259" s="14">
        <f t="shared" si="19"/>
        <v>2.4948381105230455E-2</v>
      </c>
      <c r="N259" s="35"/>
    </row>
    <row r="260" spans="1:14" x14ac:dyDescent="0.2">
      <c r="A260" s="2">
        <v>37071</v>
      </c>
      <c r="B260" s="2"/>
      <c r="C260" s="21">
        <v>1714.32</v>
      </c>
      <c r="D260" s="24">
        <f t="shared" si="16"/>
        <v>-2.4341382626957064E-2</v>
      </c>
      <c r="E260" s="20"/>
      <c r="F260" s="20">
        <v>2024.12</v>
      </c>
      <c r="G260" s="24">
        <f t="shared" si="17"/>
        <v>3.4529991413501326E-2</v>
      </c>
      <c r="H260" s="20"/>
      <c r="I260" s="20">
        <v>964.34</v>
      </c>
      <c r="J260" s="24">
        <f t="shared" si="18"/>
        <v>3.7784555172737377E-3</v>
      </c>
      <c r="K260" s="20"/>
      <c r="L260" s="20">
        <v>1109.0899999999999</v>
      </c>
      <c r="M260" s="14">
        <f t="shared" si="19"/>
        <v>5.3663533272296782E-3</v>
      </c>
      <c r="N260" s="35"/>
    </row>
    <row r="261" spans="1:14" x14ac:dyDescent="0.2">
      <c r="A261" s="2">
        <v>37042</v>
      </c>
      <c r="B261" s="2"/>
      <c r="C261" s="21">
        <v>1757.09</v>
      </c>
      <c r="D261" s="24">
        <f t="shared" si="16"/>
        <v>6.7033728851431107E-3</v>
      </c>
      <c r="E261" s="20"/>
      <c r="F261" s="20">
        <v>1956.56</v>
      </c>
      <c r="G261" s="24">
        <f t="shared" si="17"/>
        <v>2.4580806652632514E-2</v>
      </c>
      <c r="H261" s="20"/>
      <c r="I261" s="20">
        <v>960.71</v>
      </c>
      <c r="J261" s="24">
        <f t="shared" si="18"/>
        <v>6.0317294099168084E-3</v>
      </c>
      <c r="K261" s="20"/>
      <c r="L261" s="20">
        <v>1103.17</v>
      </c>
      <c r="M261" s="14">
        <f t="shared" si="19"/>
        <v>3.1189190172222769E-3</v>
      </c>
      <c r="N261" s="35"/>
    </row>
    <row r="262" spans="1:14" x14ac:dyDescent="0.2">
      <c r="A262" s="2">
        <v>37011</v>
      </c>
      <c r="B262" s="2"/>
      <c r="C262" s="21">
        <v>1745.39</v>
      </c>
      <c r="D262" s="24">
        <f t="shared" si="16"/>
        <v>7.7707250206848988E-2</v>
      </c>
      <c r="E262" s="20"/>
      <c r="F262" s="20">
        <v>1909.62</v>
      </c>
      <c r="G262" s="24">
        <f t="shared" si="17"/>
        <v>7.8229544851417421E-2</v>
      </c>
      <c r="H262" s="20"/>
      <c r="I262" s="20">
        <v>954.95</v>
      </c>
      <c r="J262" s="24">
        <f t="shared" si="18"/>
        <v>-4.1504593661684241E-3</v>
      </c>
      <c r="K262" s="20"/>
      <c r="L262" s="20">
        <v>1099.74</v>
      </c>
      <c r="M262" s="14">
        <f t="shared" si="19"/>
        <v>-1.2428384130461989E-2</v>
      </c>
      <c r="N262" s="35"/>
    </row>
    <row r="263" spans="1:14" x14ac:dyDescent="0.2">
      <c r="A263" s="2">
        <v>36980</v>
      </c>
      <c r="B263" s="2"/>
      <c r="C263" s="21">
        <v>1619.54</v>
      </c>
      <c r="D263" s="24">
        <f t="shared" si="16"/>
        <v>-6.3351608948111093E-2</v>
      </c>
      <c r="E263" s="20"/>
      <c r="F263" s="20">
        <v>1771.07</v>
      </c>
      <c r="G263" s="24">
        <f t="shared" si="17"/>
        <v>-4.8916312239549842E-2</v>
      </c>
      <c r="H263" s="20"/>
      <c r="I263" s="20">
        <v>958.93</v>
      </c>
      <c r="J263" s="24">
        <f t="shared" si="18"/>
        <v>5.0202276395496792E-3</v>
      </c>
      <c r="K263" s="20"/>
      <c r="L263" s="20">
        <v>1113.58</v>
      </c>
      <c r="M263" s="14">
        <f t="shared" si="19"/>
        <v>3.2071494207310813E-3</v>
      </c>
      <c r="N263" s="35"/>
    </row>
    <row r="264" spans="1:14" x14ac:dyDescent="0.2">
      <c r="A264" s="2">
        <v>36950</v>
      </c>
      <c r="B264" s="2"/>
      <c r="C264" s="21">
        <v>1729.08</v>
      </c>
      <c r="D264" s="24">
        <f t="shared" si="16"/>
        <v>-9.1177630022864053E-2</v>
      </c>
      <c r="E264" s="20"/>
      <c r="F264" s="20">
        <v>1862.16</v>
      </c>
      <c r="G264" s="24">
        <f t="shared" si="17"/>
        <v>-6.5612267426690463E-2</v>
      </c>
      <c r="H264" s="20"/>
      <c r="I264" s="20">
        <v>954.14</v>
      </c>
      <c r="J264" s="24">
        <f t="shared" si="18"/>
        <v>8.7112802621842622E-3</v>
      </c>
      <c r="K264" s="20"/>
      <c r="L264" s="20">
        <v>1110.02</v>
      </c>
      <c r="M264" s="14">
        <f t="shared" si="19"/>
        <v>1.2090156460848211E-2</v>
      </c>
      <c r="N264" s="35"/>
    </row>
    <row r="265" spans="1:14" x14ac:dyDescent="0.2">
      <c r="A265" s="2">
        <v>36922</v>
      </c>
      <c r="B265" s="2"/>
      <c r="C265" s="21">
        <v>1902.55</v>
      </c>
      <c r="D265" s="24">
        <f t="shared" si="16"/>
        <v>3.5474618612473252E-2</v>
      </c>
      <c r="E265" s="20"/>
      <c r="F265" s="20">
        <v>1992.92</v>
      </c>
      <c r="G265" s="24">
        <f t="shared" si="17"/>
        <v>5.2061447500395985E-2</v>
      </c>
      <c r="H265" s="20"/>
      <c r="I265" s="20">
        <v>945.9</v>
      </c>
      <c r="J265" s="24">
        <f t="shared" si="18"/>
        <v>1.6353633902093101E-2</v>
      </c>
      <c r="K265" s="20"/>
      <c r="L265" s="20">
        <v>1096.76</v>
      </c>
      <c r="M265" s="14">
        <f t="shared" si="19"/>
        <v>8.1348640972138675E-3</v>
      </c>
      <c r="N265" s="35"/>
    </row>
    <row r="266" spans="1:14" x14ac:dyDescent="0.2">
      <c r="A266" s="2">
        <v>36889</v>
      </c>
      <c r="B266" s="2"/>
      <c r="C266" s="21">
        <v>1837.37</v>
      </c>
      <c r="D266" s="24">
        <f t="shared" si="16"/>
        <v>4.8949366119381832E-3</v>
      </c>
      <c r="E266" s="20"/>
      <c r="F266" s="20">
        <v>1894.3</v>
      </c>
      <c r="G266" s="24">
        <f t="shared" si="17"/>
        <v>8.5882325965330519E-2</v>
      </c>
      <c r="H266" s="20"/>
      <c r="I266" s="20">
        <v>930.68</v>
      </c>
      <c r="J266" s="24">
        <f t="shared" si="18"/>
        <v>1.8550337627088798E-2</v>
      </c>
      <c r="K266" s="20"/>
      <c r="L266" s="20">
        <v>1087.9100000000001</v>
      </c>
      <c r="M266" s="14">
        <f t="shared" si="19"/>
        <v>1.9081252224740997E-2</v>
      </c>
      <c r="N266" s="35"/>
    </row>
    <row r="267" spans="1:14" x14ac:dyDescent="0.2">
      <c r="A267" s="2">
        <v>36860</v>
      </c>
      <c r="B267" s="2"/>
      <c r="C267" s="21">
        <v>1828.42</v>
      </c>
      <c r="D267" s="24">
        <f t="shared" si="16"/>
        <v>-7.8839846642920874E-2</v>
      </c>
      <c r="E267" s="20"/>
      <c r="F267" s="20">
        <v>1744.48</v>
      </c>
      <c r="G267" s="24">
        <f t="shared" si="17"/>
        <v>-0.10265220880228798</v>
      </c>
      <c r="H267" s="20"/>
      <c r="I267" s="20">
        <v>913.73</v>
      </c>
      <c r="J267" s="24">
        <f t="shared" si="18"/>
        <v>1.6350956030388275E-2</v>
      </c>
      <c r="K267" s="20"/>
      <c r="L267" s="20">
        <v>1067.54</v>
      </c>
      <c r="M267" s="14">
        <f t="shared" si="19"/>
        <v>2.0495172545645701E-2</v>
      </c>
      <c r="N267" s="35"/>
    </row>
    <row r="268" spans="1:14" x14ac:dyDescent="0.2">
      <c r="A268" s="2">
        <v>36830</v>
      </c>
      <c r="B268" s="2"/>
      <c r="C268" s="21">
        <v>1984.91</v>
      </c>
      <c r="D268" s="24">
        <f t="shared" si="16"/>
        <v>-4.2240873312496818E-3</v>
      </c>
      <c r="E268" s="20"/>
      <c r="F268" s="20">
        <v>1944.04</v>
      </c>
      <c r="G268" s="24">
        <f t="shared" si="17"/>
        <v>-4.4636758122140408E-2</v>
      </c>
      <c r="H268" s="20"/>
      <c r="I268" s="20">
        <v>899.03</v>
      </c>
      <c r="J268" s="24">
        <f t="shared" si="18"/>
        <v>6.6172518810461156E-3</v>
      </c>
      <c r="K268" s="20"/>
      <c r="L268" s="20">
        <v>1046.0999999999999</v>
      </c>
      <c r="M268" s="14">
        <f t="shared" si="19"/>
        <v>9.7490347490347684E-3</v>
      </c>
      <c r="N268" s="35"/>
    </row>
    <row r="269" spans="1:14" x14ac:dyDescent="0.2">
      <c r="A269" s="2">
        <v>36798</v>
      </c>
      <c r="B269" s="2"/>
      <c r="C269" s="21">
        <v>1993.33</v>
      </c>
      <c r="D269" s="24">
        <f t="shared" si="16"/>
        <v>-5.2793392985273857E-2</v>
      </c>
      <c r="E269" s="20"/>
      <c r="F269" s="20">
        <v>2034.87</v>
      </c>
      <c r="G269" s="24">
        <f t="shared" si="17"/>
        <v>-2.9391983744258221E-2</v>
      </c>
      <c r="H269" s="20"/>
      <c r="I269" s="20">
        <v>893.12</v>
      </c>
      <c r="J269" s="24">
        <f t="shared" si="18"/>
        <v>6.2870405840864674E-3</v>
      </c>
      <c r="K269" s="20"/>
      <c r="L269" s="20">
        <v>1036</v>
      </c>
      <c r="M269" s="14">
        <f t="shared" si="19"/>
        <v>7.9213276918022046E-4</v>
      </c>
      <c r="N269" s="35"/>
    </row>
    <row r="270" spans="1:14" x14ac:dyDescent="0.2">
      <c r="A270" s="2">
        <v>36769</v>
      </c>
      <c r="B270" s="2"/>
      <c r="C270" s="21">
        <v>2104.4299999999998</v>
      </c>
      <c r="D270" s="24">
        <f t="shared" si="16"/>
        <v>6.2113901562563134E-2</v>
      </c>
      <c r="E270" s="20"/>
      <c r="F270" s="20">
        <v>2096.4899999999998</v>
      </c>
      <c r="G270" s="24">
        <f t="shared" si="17"/>
        <v>7.6298726301036401E-2</v>
      </c>
      <c r="H270" s="20"/>
      <c r="I270" s="20">
        <v>887.54</v>
      </c>
      <c r="J270" s="24">
        <f t="shared" si="18"/>
        <v>1.4493747571039828E-2</v>
      </c>
      <c r="K270" s="20"/>
      <c r="L270" s="20">
        <v>1035.18</v>
      </c>
      <c r="M270" s="14">
        <f t="shared" si="19"/>
        <v>1.4683395412664169E-2</v>
      </c>
      <c r="N270" s="35"/>
    </row>
    <row r="271" spans="1:14" x14ac:dyDescent="0.2">
      <c r="A271" s="2">
        <v>36738</v>
      </c>
      <c r="B271" s="2"/>
      <c r="C271" s="21">
        <v>1981.36</v>
      </c>
      <c r="D271" s="24">
        <f t="shared" si="16"/>
        <v>-1.5634703377831238E-2</v>
      </c>
      <c r="E271" s="20"/>
      <c r="F271" s="20">
        <v>1947.87</v>
      </c>
      <c r="G271" s="24">
        <f t="shared" si="17"/>
        <v>-3.2171994713358743E-2</v>
      </c>
      <c r="H271" s="20"/>
      <c r="I271" s="20">
        <v>874.86</v>
      </c>
      <c r="J271" s="24">
        <f t="shared" si="18"/>
        <v>9.0773826687735593E-3</v>
      </c>
      <c r="K271" s="20"/>
      <c r="L271" s="20">
        <v>1020.2</v>
      </c>
      <c r="M271" s="14">
        <f t="shared" si="19"/>
        <v>1.0299069122598592E-2</v>
      </c>
      <c r="N271" s="35"/>
    </row>
    <row r="272" spans="1:14" x14ac:dyDescent="0.2">
      <c r="A272" s="2">
        <v>36707</v>
      </c>
      <c r="B272" s="2"/>
      <c r="C272" s="21">
        <v>2012.83</v>
      </c>
      <c r="D272" s="24">
        <f t="shared" si="16"/>
        <v>2.465383832213397E-2</v>
      </c>
      <c r="E272" s="20"/>
      <c r="F272" s="20">
        <v>2012.62</v>
      </c>
      <c r="G272" s="24">
        <f t="shared" si="17"/>
        <v>8.7174002290356656E-2</v>
      </c>
      <c r="H272" s="20"/>
      <c r="I272" s="20">
        <v>866.99</v>
      </c>
      <c r="J272" s="24">
        <f t="shared" si="18"/>
        <v>2.0804879197475534E-2</v>
      </c>
      <c r="K272" s="20"/>
      <c r="L272" s="20">
        <v>1009.8</v>
      </c>
      <c r="M272" s="14">
        <f t="shared" si="19"/>
        <v>1.6856987493202746E-2</v>
      </c>
      <c r="N272" s="35"/>
    </row>
    <row r="273" spans="1:14" x14ac:dyDescent="0.2">
      <c r="A273" s="2">
        <v>36677</v>
      </c>
      <c r="B273" s="2"/>
      <c r="C273" s="21">
        <v>1964.4</v>
      </c>
      <c r="D273" s="24">
        <f t="shared" si="16"/>
        <v>-2.0518062376904012E-2</v>
      </c>
      <c r="E273" s="20"/>
      <c r="F273" s="20">
        <v>1851.24</v>
      </c>
      <c r="G273" s="24">
        <f t="shared" si="17"/>
        <v>-5.8286109613291059E-2</v>
      </c>
      <c r="H273" s="20"/>
      <c r="I273" s="20">
        <v>849.32</v>
      </c>
      <c r="J273" s="24">
        <f t="shared" si="18"/>
        <v>-4.5898012263001498E-4</v>
      </c>
      <c r="K273" s="20"/>
      <c r="L273" s="20">
        <v>993.06</v>
      </c>
      <c r="M273" s="14">
        <f t="shared" si="19"/>
        <v>1.5329689170380245E-3</v>
      </c>
      <c r="N273" s="35"/>
    </row>
    <row r="274" spans="1:14" x14ac:dyDescent="0.2">
      <c r="A274" s="2">
        <v>36644</v>
      </c>
      <c r="B274" s="2"/>
      <c r="C274" s="21">
        <v>2005.55</v>
      </c>
      <c r="D274" s="24">
        <f t="shared" si="16"/>
        <v>-3.0085696599218559E-2</v>
      </c>
      <c r="E274" s="20"/>
      <c r="F274" s="20">
        <v>1965.82</v>
      </c>
      <c r="G274" s="24">
        <f t="shared" si="17"/>
        <v>-6.0171727988984847E-2</v>
      </c>
      <c r="H274" s="20"/>
      <c r="I274" s="20">
        <v>849.71</v>
      </c>
      <c r="J274" s="24">
        <f t="shared" si="18"/>
        <v>-2.8633456551075964E-3</v>
      </c>
      <c r="K274" s="20"/>
      <c r="L274" s="20">
        <v>991.54</v>
      </c>
      <c r="M274" s="14">
        <f t="shared" si="19"/>
        <v>-3.166815791854849E-3</v>
      </c>
      <c r="N274" s="35"/>
    </row>
    <row r="275" spans="1:14" x14ac:dyDescent="0.2">
      <c r="A275" s="2">
        <v>36616</v>
      </c>
      <c r="B275" s="2"/>
      <c r="C275" s="21">
        <v>2067.7600000000002</v>
      </c>
      <c r="D275" s="24">
        <f t="shared" ref="D275:D338" si="20">C275/C276-1</f>
        <v>9.7828510751261089E-2</v>
      </c>
      <c r="E275" s="20"/>
      <c r="F275" s="20">
        <v>2091.6799999999998</v>
      </c>
      <c r="G275" s="24">
        <f t="shared" ref="G275:G338" si="21">F275/F276-1</f>
        <v>-6.5930728971295038E-2</v>
      </c>
      <c r="H275" s="20"/>
      <c r="I275" s="20">
        <v>852.15</v>
      </c>
      <c r="J275" s="24">
        <f t="shared" ref="J275:J338" si="22">I275/I276-1</f>
        <v>1.3173695411796693E-2</v>
      </c>
      <c r="K275" s="20"/>
      <c r="L275" s="20">
        <v>994.69</v>
      </c>
      <c r="M275" s="14">
        <f t="shared" ref="M275:M338" si="23">L275/L276-1</f>
        <v>1.9860148464093896E-2</v>
      </c>
      <c r="N275" s="35"/>
    </row>
    <row r="276" spans="1:14" x14ac:dyDescent="0.2">
      <c r="A276" s="2">
        <v>36585</v>
      </c>
      <c r="B276" s="2"/>
      <c r="C276" s="21">
        <v>1883.5</v>
      </c>
      <c r="D276" s="24">
        <f t="shared" si="20"/>
        <v>-1.892866072172672E-2</v>
      </c>
      <c r="E276" s="20"/>
      <c r="F276" s="20">
        <v>2239.3200000000002</v>
      </c>
      <c r="G276" s="24">
        <f t="shared" si="21"/>
        <v>0.16513522794676216</v>
      </c>
      <c r="H276" s="20"/>
      <c r="I276" s="20">
        <v>841.07</v>
      </c>
      <c r="J276" s="24">
        <f t="shared" si="22"/>
        <v>1.2093571755192434E-2</v>
      </c>
      <c r="K276" s="20"/>
      <c r="L276" s="20">
        <v>975.32</v>
      </c>
      <c r="M276" s="14">
        <f t="shared" si="23"/>
        <v>1.5038454733730999E-2</v>
      </c>
      <c r="N276" s="35"/>
    </row>
    <row r="277" spans="1:14" x14ac:dyDescent="0.2">
      <c r="A277" s="2">
        <v>36556</v>
      </c>
      <c r="B277" s="2"/>
      <c r="C277" s="21">
        <v>1919.84</v>
      </c>
      <c r="D277" s="24">
        <f t="shared" si="20"/>
        <v>-5.0242406253091954E-2</v>
      </c>
      <c r="E277" s="20"/>
      <c r="F277" s="20">
        <v>1921.94</v>
      </c>
      <c r="G277" s="24">
        <f t="shared" si="21"/>
        <v>-1.6059918804490758E-2</v>
      </c>
      <c r="H277" s="20"/>
      <c r="I277" s="20">
        <v>831.02</v>
      </c>
      <c r="J277" s="24">
        <f t="shared" si="22"/>
        <v>-3.2743628185907259E-3</v>
      </c>
      <c r="K277" s="20"/>
      <c r="L277" s="20">
        <v>960.87</v>
      </c>
      <c r="M277" s="14">
        <f t="shared" si="23"/>
        <v>2.608595845028594E-3</v>
      </c>
      <c r="N277" s="35"/>
    </row>
    <row r="278" spans="1:14" x14ac:dyDescent="0.2">
      <c r="A278" s="2">
        <v>36525</v>
      </c>
      <c r="B278" s="2"/>
      <c r="C278" s="21">
        <v>2021.4</v>
      </c>
      <c r="D278" s="24">
        <f t="shared" si="20"/>
        <v>5.8895634818776577E-2</v>
      </c>
      <c r="E278" s="20"/>
      <c r="F278" s="20">
        <v>1953.31</v>
      </c>
      <c r="G278" s="24">
        <f t="shared" si="21"/>
        <v>0.11320012765860432</v>
      </c>
      <c r="H278" s="20"/>
      <c r="I278" s="20">
        <v>833.75</v>
      </c>
      <c r="J278" s="24">
        <f t="shared" si="22"/>
        <v>-4.8222108165529853E-3</v>
      </c>
      <c r="K278" s="20"/>
      <c r="L278" s="20">
        <v>958.37</v>
      </c>
      <c r="M278" s="14">
        <f t="shared" si="23"/>
        <v>-6.6440017413296193E-3</v>
      </c>
      <c r="N278" s="35"/>
    </row>
    <row r="279" spans="1:14" x14ac:dyDescent="0.2">
      <c r="A279" s="2">
        <v>36494</v>
      </c>
      <c r="B279" s="2"/>
      <c r="C279" s="21">
        <v>1908.97</v>
      </c>
      <c r="D279" s="24">
        <f t="shared" si="20"/>
        <v>2.0326680705955225E-2</v>
      </c>
      <c r="E279" s="20"/>
      <c r="F279" s="20">
        <v>1754.68</v>
      </c>
      <c r="G279" s="24">
        <f t="shared" si="21"/>
        <v>5.9710957175038271E-2</v>
      </c>
      <c r="H279" s="20"/>
      <c r="I279" s="20">
        <v>837.79</v>
      </c>
      <c r="J279" s="24">
        <f t="shared" si="22"/>
        <v>-7.1611863698861633E-5</v>
      </c>
      <c r="K279" s="20"/>
      <c r="L279" s="20">
        <v>964.78</v>
      </c>
      <c r="M279" s="14">
        <f t="shared" si="23"/>
        <v>-1.9035401709048827E-3</v>
      </c>
      <c r="N279" s="35"/>
    </row>
    <row r="280" spans="1:14" x14ac:dyDescent="0.2">
      <c r="A280" s="2">
        <v>36462</v>
      </c>
      <c r="B280" s="2"/>
      <c r="C280" s="21">
        <v>1870.94</v>
      </c>
      <c r="D280" s="24">
        <f t="shared" si="20"/>
        <v>6.3281787234526377E-2</v>
      </c>
      <c r="E280" s="20"/>
      <c r="F280" s="20">
        <v>1655.81</v>
      </c>
      <c r="G280" s="24">
        <f t="shared" si="21"/>
        <v>4.0506206302717285E-3</v>
      </c>
      <c r="H280" s="20"/>
      <c r="I280" s="20">
        <v>837.85</v>
      </c>
      <c r="J280" s="24">
        <f t="shared" si="22"/>
        <v>3.6896390622567221E-3</v>
      </c>
      <c r="K280" s="20"/>
      <c r="L280" s="20">
        <v>966.62</v>
      </c>
      <c r="M280" s="14">
        <f t="shared" si="23"/>
        <v>1.0874405791396757E-3</v>
      </c>
      <c r="N280" s="35"/>
    </row>
    <row r="281" spans="1:14" x14ac:dyDescent="0.2">
      <c r="A281" s="2">
        <v>36433</v>
      </c>
      <c r="B281" s="2"/>
      <c r="C281" s="21">
        <v>1759.59</v>
      </c>
      <c r="D281" s="24">
        <f t="shared" si="20"/>
        <v>-2.7415583769532348E-2</v>
      </c>
      <c r="E281" s="20"/>
      <c r="F281" s="20">
        <v>1649.13</v>
      </c>
      <c r="G281" s="24">
        <f t="shared" si="21"/>
        <v>2.18344584144603E-4</v>
      </c>
      <c r="H281" s="20"/>
      <c r="I281" s="20">
        <v>834.77</v>
      </c>
      <c r="J281" s="24">
        <f t="shared" si="22"/>
        <v>1.1609447521176763E-2</v>
      </c>
      <c r="K281" s="20"/>
      <c r="L281" s="20">
        <v>965.57</v>
      </c>
      <c r="M281" s="14">
        <f t="shared" si="23"/>
        <v>7.6599563779051749E-3</v>
      </c>
      <c r="N281" s="35"/>
    </row>
    <row r="282" spans="1:14" x14ac:dyDescent="0.2">
      <c r="A282" s="2">
        <v>36403</v>
      </c>
      <c r="B282" s="2"/>
      <c r="C282" s="21">
        <v>1809.19</v>
      </c>
      <c r="D282" s="24">
        <f t="shared" si="20"/>
        <v>-4.9445049445049349E-3</v>
      </c>
      <c r="E282" s="20"/>
      <c r="F282" s="20">
        <v>1648.77</v>
      </c>
      <c r="G282" s="24">
        <f t="shared" si="21"/>
        <v>-3.7012160220542767E-2</v>
      </c>
      <c r="H282" s="20"/>
      <c r="I282" s="20">
        <v>825.19</v>
      </c>
      <c r="J282" s="24">
        <f t="shared" si="22"/>
        <v>-5.0871476847413888E-4</v>
      </c>
      <c r="K282" s="20"/>
      <c r="L282" s="20">
        <v>958.23</v>
      </c>
      <c r="M282" s="14">
        <f t="shared" si="23"/>
        <v>1.4612405932634687E-4</v>
      </c>
      <c r="N282" s="35"/>
    </row>
    <row r="283" spans="1:14" x14ac:dyDescent="0.2">
      <c r="A283" s="2">
        <v>36371</v>
      </c>
      <c r="B283" s="2"/>
      <c r="C283" s="21">
        <v>1818.18</v>
      </c>
      <c r="D283" s="24">
        <f t="shared" si="20"/>
        <v>-3.122369164206773E-2</v>
      </c>
      <c r="E283" s="20"/>
      <c r="F283" s="20">
        <v>1712.14</v>
      </c>
      <c r="G283" s="24">
        <f t="shared" si="21"/>
        <v>-2.7436322737497409E-2</v>
      </c>
      <c r="H283" s="20"/>
      <c r="I283" s="20">
        <v>825.61</v>
      </c>
      <c r="J283" s="24">
        <f t="shared" si="22"/>
        <v>-4.25742335431889E-3</v>
      </c>
      <c r="K283" s="20"/>
      <c r="L283" s="20">
        <v>958.09</v>
      </c>
      <c r="M283" s="14">
        <f t="shared" si="23"/>
        <v>-8.447179059338783E-4</v>
      </c>
      <c r="N283" s="35"/>
    </row>
    <row r="284" spans="1:14" x14ac:dyDescent="0.2">
      <c r="A284" s="2">
        <v>36341</v>
      </c>
      <c r="B284" s="2"/>
      <c r="C284" s="21">
        <v>1876.78</v>
      </c>
      <c r="D284" s="24">
        <f t="shared" si="20"/>
        <v>5.5497441088802724E-2</v>
      </c>
      <c r="E284" s="20"/>
      <c r="F284" s="20">
        <v>1760.44</v>
      </c>
      <c r="G284" s="24">
        <f t="shared" si="21"/>
        <v>4.5218134751941585E-2</v>
      </c>
      <c r="H284" s="20"/>
      <c r="I284" s="20">
        <v>829.14</v>
      </c>
      <c r="J284" s="24">
        <f t="shared" si="22"/>
        <v>-3.1859002873321218E-3</v>
      </c>
      <c r="K284" s="20"/>
      <c r="L284" s="20">
        <v>958.9</v>
      </c>
      <c r="M284" s="14">
        <f t="shared" si="23"/>
        <v>-2.0917671790282588E-3</v>
      </c>
      <c r="N284" s="35"/>
    </row>
    <row r="285" spans="1:14" x14ac:dyDescent="0.2">
      <c r="A285" s="2">
        <v>36311</v>
      </c>
      <c r="B285" s="2"/>
      <c r="C285" s="21">
        <v>1778.1</v>
      </c>
      <c r="D285" s="24">
        <f t="shared" si="20"/>
        <v>-2.3617464074108696E-2</v>
      </c>
      <c r="E285" s="20"/>
      <c r="F285" s="20">
        <v>1684.28</v>
      </c>
      <c r="G285" s="24">
        <f t="shared" si="21"/>
        <v>1.4608169731872289E-2</v>
      </c>
      <c r="H285" s="20"/>
      <c r="I285" s="20">
        <v>831.79</v>
      </c>
      <c r="J285" s="24">
        <f t="shared" si="22"/>
        <v>-8.7589675143600054E-3</v>
      </c>
      <c r="K285" s="20"/>
      <c r="L285" s="20">
        <v>960.91</v>
      </c>
      <c r="M285" s="14">
        <f t="shared" si="23"/>
        <v>-9.3302816610995043E-3</v>
      </c>
      <c r="N285" s="35"/>
    </row>
    <row r="286" spans="1:14" x14ac:dyDescent="0.2">
      <c r="A286" s="2">
        <v>36280</v>
      </c>
      <c r="B286" s="2"/>
      <c r="C286" s="21">
        <v>1821.11</v>
      </c>
      <c r="D286" s="24">
        <f t="shared" si="20"/>
        <v>3.8728960021902514E-2</v>
      </c>
      <c r="E286" s="20"/>
      <c r="F286" s="20">
        <v>1660.03</v>
      </c>
      <c r="G286" s="24">
        <f t="shared" si="21"/>
        <v>8.9608863742279388E-2</v>
      </c>
      <c r="H286" s="20"/>
      <c r="I286" s="20">
        <v>839.14</v>
      </c>
      <c r="J286" s="24">
        <f t="shared" si="22"/>
        <v>3.1679996174491798E-3</v>
      </c>
      <c r="K286" s="20"/>
      <c r="L286" s="20">
        <v>969.96</v>
      </c>
      <c r="M286" s="14">
        <f t="shared" si="23"/>
        <v>2.3768679081497268E-3</v>
      </c>
      <c r="N286" s="35"/>
    </row>
    <row r="287" spans="1:14" x14ac:dyDescent="0.2">
      <c r="A287" s="2">
        <v>36250</v>
      </c>
      <c r="B287" s="2"/>
      <c r="C287" s="21">
        <v>1753.21</v>
      </c>
      <c r="D287" s="24">
        <f t="shared" si="20"/>
        <v>4.000545744674544E-2</v>
      </c>
      <c r="E287" s="20"/>
      <c r="F287" s="20">
        <v>1523.51</v>
      </c>
      <c r="G287" s="24">
        <f t="shared" si="21"/>
        <v>1.5612396589538058E-2</v>
      </c>
      <c r="H287" s="20"/>
      <c r="I287" s="20">
        <v>836.49</v>
      </c>
      <c r="J287" s="24">
        <f t="shared" si="22"/>
        <v>5.5416646631725186E-3</v>
      </c>
      <c r="K287" s="20"/>
      <c r="L287" s="20">
        <v>967.66</v>
      </c>
      <c r="M287" s="14">
        <f t="shared" si="23"/>
        <v>3.8383335408107566E-3</v>
      </c>
      <c r="N287" s="35"/>
    </row>
    <row r="288" spans="1:14" x14ac:dyDescent="0.2">
      <c r="A288" s="2">
        <v>36217</v>
      </c>
      <c r="B288" s="2"/>
      <c r="C288" s="21">
        <v>1685.77</v>
      </c>
      <c r="D288" s="24">
        <f t="shared" si="20"/>
        <v>-3.1077570351296657E-2</v>
      </c>
      <c r="E288" s="20"/>
      <c r="F288" s="20">
        <v>1500.09</v>
      </c>
      <c r="G288" s="24">
        <f t="shared" si="21"/>
        <v>-8.0996140415364848E-2</v>
      </c>
      <c r="H288" s="20"/>
      <c r="I288" s="20">
        <v>831.88</v>
      </c>
      <c r="J288" s="24">
        <f t="shared" si="22"/>
        <v>-1.7456830368743015E-2</v>
      </c>
      <c r="K288" s="20"/>
      <c r="L288" s="20">
        <v>963.96</v>
      </c>
      <c r="M288" s="14">
        <f t="shared" si="23"/>
        <v>-2.5525419273966121E-2</v>
      </c>
      <c r="N288" s="35"/>
    </row>
    <row r="289" spans="1:14" x14ac:dyDescent="0.2">
      <c r="A289" s="2">
        <v>36189</v>
      </c>
      <c r="B289" s="2"/>
      <c r="C289" s="21">
        <v>1739.84</v>
      </c>
      <c r="D289" s="24">
        <f t="shared" si="20"/>
        <v>4.1814120873527649E-2</v>
      </c>
      <c r="E289" s="20"/>
      <c r="F289" s="20">
        <v>1632.3</v>
      </c>
      <c r="G289" s="24">
        <f t="shared" si="21"/>
        <v>1.3284499348190426E-2</v>
      </c>
      <c r="H289" s="20"/>
      <c r="I289" s="20">
        <v>846.66</v>
      </c>
      <c r="J289" s="24">
        <f t="shared" si="22"/>
        <v>7.1372493041181873E-3</v>
      </c>
      <c r="K289" s="20"/>
      <c r="L289" s="20">
        <v>989.21</v>
      </c>
      <c r="M289" s="14">
        <f t="shared" si="23"/>
        <v>5.8057956278596556E-3</v>
      </c>
      <c r="N289" s="35"/>
    </row>
    <row r="290" spans="1:14" x14ac:dyDescent="0.2">
      <c r="A290" s="2">
        <v>36160</v>
      </c>
      <c r="B290" s="2"/>
      <c r="C290" s="21">
        <v>1670.01</v>
      </c>
      <c r="D290" s="24">
        <f t="shared" si="20"/>
        <v>5.7624349279933096E-2</v>
      </c>
      <c r="E290" s="20"/>
      <c r="F290" s="20">
        <v>1610.9</v>
      </c>
      <c r="G290" s="24">
        <f t="shared" si="21"/>
        <v>6.1884484054264277E-2</v>
      </c>
      <c r="H290" s="20"/>
      <c r="I290" s="20">
        <v>840.66</v>
      </c>
      <c r="J290" s="24">
        <f t="shared" si="22"/>
        <v>3.0066575989691202E-3</v>
      </c>
      <c r="K290" s="20"/>
      <c r="L290" s="20">
        <v>983.5</v>
      </c>
      <c r="M290" s="14">
        <f t="shared" si="23"/>
        <v>1.9560300739622782E-3</v>
      </c>
      <c r="N290" s="35"/>
    </row>
    <row r="291" spans="1:14" x14ac:dyDescent="0.2">
      <c r="A291" s="2">
        <v>36129</v>
      </c>
      <c r="B291" s="2"/>
      <c r="C291" s="21">
        <v>1579.02</v>
      </c>
      <c r="D291" s="24">
        <f t="shared" si="20"/>
        <v>6.0613388143311964E-2</v>
      </c>
      <c r="E291" s="20"/>
      <c r="F291" s="20">
        <v>1517.02</v>
      </c>
      <c r="G291" s="24">
        <f t="shared" si="21"/>
        <v>5.2389871661463694E-2</v>
      </c>
      <c r="H291" s="20"/>
      <c r="I291" s="20">
        <v>838.14</v>
      </c>
      <c r="J291" s="24">
        <f t="shared" si="22"/>
        <v>5.6634110052555808E-3</v>
      </c>
      <c r="K291" s="20"/>
      <c r="L291" s="20">
        <v>981.58</v>
      </c>
      <c r="M291" s="14">
        <f t="shared" si="23"/>
        <v>-2.2407822367076502E-4</v>
      </c>
      <c r="N291" s="35"/>
    </row>
    <row r="292" spans="1:14" x14ac:dyDescent="0.2">
      <c r="A292" s="2">
        <v>36098</v>
      </c>
      <c r="B292" s="2"/>
      <c r="C292" s="21">
        <v>1488.78</v>
      </c>
      <c r="D292" s="24">
        <f t="shared" si="20"/>
        <v>8.1341381038502636E-2</v>
      </c>
      <c r="E292" s="20"/>
      <c r="F292" s="20">
        <v>1441.5</v>
      </c>
      <c r="G292" s="24">
        <f t="shared" si="21"/>
        <v>4.0786709121233722E-2</v>
      </c>
      <c r="H292" s="20"/>
      <c r="I292" s="20">
        <v>833.42</v>
      </c>
      <c r="J292" s="24">
        <f t="shared" si="22"/>
        <v>-5.2754702568510448E-3</v>
      </c>
      <c r="K292" s="20"/>
      <c r="L292" s="20">
        <v>981.8</v>
      </c>
      <c r="M292" s="14">
        <f t="shared" si="23"/>
        <v>-3.1981318848673945E-3</v>
      </c>
      <c r="N292" s="35"/>
    </row>
    <row r="293" spans="1:14" x14ac:dyDescent="0.2">
      <c r="A293" s="2">
        <v>36068</v>
      </c>
      <c r="B293" s="2"/>
      <c r="C293" s="21">
        <v>1376.79</v>
      </c>
      <c r="D293" s="24">
        <f t="shared" si="20"/>
        <v>6.4062137723162493E-2</v>
      </c>
      <c r="E293" s="20"/>
      <c r="F293" s="20">
        <v>1385.01</v>
      </c>
      <c r="G293" s="24">
        <f t="shared" si="21"/>
        <v>7.8256740029116534E-2</v>
      </c>
      <c r="H293" s="20"/>
      <c r="I293" s="20">
        <v>837.84</v>
      </c>
      <c r="J293" s="24">
        <f t="shared" si="22"/>
        <v>2.3416028436366476E-2</v>
      </c>
      <c r="K293" s="20"/>
      <c r="L293" s="20">
        <v>984.95</v>
      </c>
      <c r="M293" s="14">
        <f t="shared" si="23"/>
        <v>2.787401903489739E-2</v>
      </c>
      <c r="N293" s="35"/>
    </row>
    <row r="294" spans="1:14" x14ac:dyDescent="0.2">
      <c r="A294" s="2">
        <v>36038</v>
      </c>
      <c r="B294" s="2"/>
      <c r="C294" s="21">
        <v>1293.9000000000001</v>
      </c>
      <c r="D294" s="24">
        <f t="shared" si="20"/>
        <v>-0.14457982665494273</v>
      </c>
      <c r="E294" s="20"/>
      <c r="F294" s="20">
        <v>1284.49</v>
      </c>
      <c r="G294" s="24">
        <f t="shared" si="21"/>
        <v>-0.19417694995639923</v>
      </c>
      <c r="H294" s="20"/>
      <c r="I294" s="20">
        <v>818.67</v>
      </c>
      <c r="J294" s="24">
        <f t="shared" si="22"/>
        <v>1.6274392968866458E-2</v>
      </c>
      <c r="K294" s="20"/>
      <c r="L294" s="20">
        <v>958.24</v>
      </c>
      <c r="M294" s="14">
        <f t="shared" si="23"/>
        <v>2.7162611212348642E-2</v>
      </c>
      <c r="N294" s="35"/>
    </row>
    <row r="295" spans="1:14" x14ac:dyDescent="0.2">
      <c r="A295" s="2">
        <v>36007</v>
      </c>
      <c r="B295" s="2"/>
      <c r="C295" s="21">
        <v>1512.59</v>
      </c>
      <c r="D295" s="24">
        <f t="shared" si="20"/>
        <v>-1.0648387371064882E-2</v>
      </c>
      <c r="E295" s="20"/>
      <c r="F295" s="20">
        <v>1594.01</v>
      </c>
      <c r="G295" s="24">
        <f t="shared" si="21"/>
        <v>-8.095501666263083E-2</v>
      </c>
      <c r="H295" s="20"/>
      <c r="I295" s="20">
        <v>805.56</v>
      </c>
      <c r="J295" s="24">
        <f t="shared" si="22"/>
        <v>2.1272625489829888E-3</v>
      </c>
      <c r="K295" s="20"/>
      <c r="L295" s="20">
        <v>932.9</v>
      </c>
      <c r="M295" s="14">
        <f t="shared" si="23"/>
        <v>1.5674654298718504E-3</v>
      </c>
      <c r="N295" s="35"/>
    </row>
    <row r="296" spans="1:14" x14ac:dyDescent="0.2">
      <c r="A296" s="2">
        <v>35976</v>
      </c>
      <c r="B296" s="2"/>
      <c r="C296" s="21">
        <v>1528.87</v>
      </c>
      <c r="D296" s="24">
        <f t="shared" si="20"/>
        <v>4.0621022468162682E-2</v>
      </c>
      <c r="E296" s="20"/>
      <c r="F296" s="20">
        <v>1734.42</v>
      </c>
      <c r="G296" s="24">
        <f t="shared" si="21"/>
        <v>2.1030980251679487E-3</v>
      </c>
      <c r="H296" s="20"/>
      <c r="I296" s="20">
        <v>803.85</v>
      </c>
      <c r="J296" s="24">
        <f t="shared" si="22"/>
        <v>8.4808490885597276E-3</v>
      </c>
      <c r="K296" s="20"/>
      <c r="L296" s="20">
        <v>931.44</v>
      </c>
      <c r="M296" s="14">
        <f t="shared" si="23"/>
        <v>1.1522213655072111E-2</v>
      </c>
      <c r="N296" s="35"/>
    </row>
    <row r="297" spans="1:14" x14ac:dyDescent="0.2">
      <c r="A297" s="2">
        <v>35944</v>
      </c>
      <c r="B297" s="2"/>
      <c r="C297" s="21">
        <v>1469.19</v>
      </c>
      <c r="D297" s="24">
        <f t="shared" si="20"/>
        <v>-1.7191900407387828E-2</v>
      </c>
      <c r="E297" s="20"/>
      <c r="F297" s="20">
        <v>1730.78</v>
      </c>
      <c r="G297" s="24">
        <f t="shared" si="21"/>
        <v>-5.3856666484447646E-2</v>
      </c>
      <c r="H297" s="20"/>
      <c r="I297" s="20">
        <v>797.09</v>
      </c>
      <c r="J297" s="24">
        <f t="shared" si="22"/>
        <v>9.485815602836789E-3</v>
      </c>
      <c r="K297" s="20"/>
      <c r="L297" s="20">
        <v>920.83</v>
      </c>
      <c r="M297" s="14">
        <f t="shared" si="23"/>
        <v>1.0391063904494402E-2</v>
      </c>
      <c r="N297" s="35"/>
    </row>
    <row r="298" spans="1:14" x14ac:dyDescent="0.2">
      <c r="A298" s="2">
        <v>35915</v>
      </c>
      <c r="B298" s="2"/>
      <c r="C298" s="21">
        <v>1494.89</v>
      </c>
      <c r="D298" s="24">
        <f t="shared" si="20"/>
        <v>1.0060810810810894E-2</v>
      </c>
      <c r="E298" s="20"/>
      <c r="F298" s="20">
        <v>1829.3</v>
      </c>
      <c r="G298" s="24">
        <f t="shared" si="21"/>
        <v>5.5297816670696331E-3</v>
      </c>
      <c r="H298" s="20"/>
      <c r="I298" s="20">
        <v>789.6</v>
      </c>
      <c r="J298" s="24">
        <f t="shared" si="22"/>
        <v>5.2196053469129033E-3</v>
      </c>
      <c r="K298" s="20"/>
      <c r="L298" s="20">
        <v>911.36</v>
      </c>
      <c r="M298" s="14">
        <f t="shared" si="23"/>
        <v>4.4526738085790551E-3</v>
      </c>
      <c r="N298" s="35"/>
    </row>
    <row r="299" spans="1:14" x14ac:dyDescent="0.2">
      <c r="A299" s="2">
        <v>35885</v>
      </c>
      <c r="B299" s="2"/>
      <c r="C299" s="21">
        <v>1480</v>
      </c>
      <c r="D299" s="24">
        <f t="shared" si="20"/>
        <v>5.1211023510192355E-2</v>
      </c>
      <c r="E299" s="20"/>
      <c r="F299" s="20">
        <v>1819.24</v>
      </c>
      <c r="G299" s="24">
        <f t="shared" si="21"/>
        <v>4.124360397898319E-2</v>
      </c>
      <c r="H299" s="20"/>
      <c r="I299" s="20">
        <v>785.5</v>
      </c>
      <c r="J299" s="24">
        <f t="shared" si="22"/>
        <v>3.4363383196434061E-3</v>
      </c>
      <c r="K299" s="20"/>
      <c r="L299" s="20">
        <v>907.32</v>
      </c>
      <c r="M299" s="14">
        <f t="shared" si="23"/>
        <v>2.7297342100900401E-3</v>
      </c>
      <c r="N299" s="35"/>
    </row>
    <row r="300" spans="1:14" x14ac:dyDescent="0.2">
      <c r="A300" s="2">
        <v>35853</v>
      </c>
      <c r="B300" s="2"/>
      <c r="C300" s="21">
        <v>1407.9</v>
      </c>
      <c r="D300" s="24">
        <f t="shared" si="20"/>
        <v>7.2122084389920849E-2</v>
      </c>
      <c r="E300" s="20"/>
      <c r="F300" s="20">
        <v>1747.18</v>
      </c>
      <c r="G300" s="24">
        <f t="shared" si="21"/>
        <v>7.394522029897721E-2</v>
      </c>
      <c r="H300" s="20"/>
      <c r="I300" s="20">
        <v>782.81</v>
      </c>
      <c r="J300" s="24">
        <f t="shared" si="22"/>
        <v>-7.5312739341337753E-4</v>
      </c>
      <c r="K300" s="20"/>
      <c r="L300" s="20">
        <v>904.85</v>
      </c>
      <c r="M300" s="14">
        <f t="shared" si="23"/>
        <v>-2.9750426973719213E-3</v>
      </c>
      <c r="N300" s="35"/>
    </row>
    <row r="301" spans="1:14" x14ac:dyDescent="0.2">
      <c r="A301" s="2">
        <v>35825</v>
      </c>
      <c r="B301" s="2"/>
      <c r="C301" s="21">
        <v>1313.19</v>
      </c>
      <c r="D301" s="24">
        <f t="shared" si="20"/>
        <v>1.1063888760567409E-2</v>
      </c>
      <c r="E301" s="20"/>
      <c r="F301" s="20">
        <v>1626.88</v>
      </c>
      <c r="G301" s="24">
        <f t="shared" si="21"/>
        <v>-1.5783710533161521E-2</v>
      </c>
      <c r="H301" s="20"/>
      <c r="I301" s="20">
        <v>783.4</v>
      </c>
      <c r="J301" s="24">
        <f t="shared" si="22"/>
        <v>1.2838248412995856E-2</v>
      </c>
      <c r="K301" s="20"/>
      <c r="L301" s="20">
        <v>907.55</v>
      </c>
      <c r="M301" s="14">
        <f t="shared" si="23"/>
        <v>1.5315597520864532E-2</v>
      </c>
      <c r="N301" s="35"/>
    </row>
    <row r="302" spans="1:14" x14ac:dyDescent="0.2">
      <c r="A302" s="2">
        <v>35795</v>
      </c>
      <c r="B302" s="2"/>
      <c r="C302" s="21">
        <v>1298.82</v>
      </c>
      <c r="D302" s="24">
        <f t="shared" si="20"/>
        <v>1.7174541268237586E-2</v>
      </c>
      <c r="E302" s="20"/>
      <c r="F302" s="20">
        <v>1652.97</v>
      </c>
      <c r="G302" s="24">
        <f t="shared" si="21"/>
        <v>1.7506601909475394E-2</v>
      </c>
      <c r="H302" s="20"/>
      <c r="I302" s="20">
        <v>773.47</v>
      </c>
      <c r="J302" s="24">
        <f t="shared" si="22"/>
        <v>1.0068428750522385E-2</v>
      </c>
      <c r="K302" s="20"/>
      <c r="L302" s="20">
        <v>893.86</v>
      </c>
      <c r="M302" s="14">
        <f t="shared" si="23"/>
        <v>1.0525125770165733E-2</v>
      </c>
      <c r="N302" s="35"/>
    </row>
    <row r="303" spans="1:14" x14ac:dyDescent="0.2">
      <c r="A303" s="2">
        <v>35762</v>
      </c>
      <c r="B303" s="2"/>
      <c r="C303" s="21">
        <v>1276.8900000000001</v>
      </c>
      <c r="D303" s="24">
        <f t="shared" si="20"/>
        <v>4.6288102261553554E-2</v>
      </c>
      <c r="E303" s="20"/>
      <c r="F303" s="20">
        <v>1624.53</v>
      </c>
      <c r="G303" s="24">
        <f t="shared" si="21"/>
        <v>-6.4705126872197649E-3</v>
      </c>
      <c r="H303" s="20"/>
      <c r="I303" s="20">
        <v>765.76</v>
      </c>
      <c r="J303" s="24">
        <f t="shared" si="22"/>
        <v>4.6047884552311569E-3</v>
      </c>
      <c r="K303" s="20"/>
      <c r="L303" s="20">
        <v>884.55</v>
      </c>
      <c r="M303" s="14">
        <f t="shared" si="23"/>
        <v>5.216146188463E-3</v>
      </c>
      <c r="N303" s="35"/>
    </row>
    <row r="304" spans="1:14" x14ac:dyDescent="0.2">
      <c r="A304" s="2">
        <v>35734</v>
      </c>
      <c r="B304" s="2"/>
      <c r="C304" s="21">
        <v>1220.4000000000001</v>
      </c>
      <c r="D304" s="24">
        <f t="shared" si="20"/>
        <v>-3.3392472436953424E-2</v>
      </c>
      <c r="E304" s="20"/>
      <c r="F304" s="20">
        <v>1635.11</v>
      </c>
      <c r="G304" s="24">
        <f t="shared" si="21"/>
        <v>-4.392950696978204E-2</v>
      </c>
      <c r="H304" s="20"/>
      <c r="I304" s="20">
        <v>762.25</v>
      </c>
      <c r="J304" s="24">
        <f t="shared" si="22"/>
        <v>1.4507220336727134E-2</v>
      </c>
      <c r="K304" s="20"/>
      <c r="L304" s="20">
        <v>879.96</v>
      </c>
      <c r="M304" s="14">
        <f t="shared" si="23"/>
        <v>1.7412417620534137E-2</v>
      </c>
      <c r="N304" s="35"/>
    </row>
    <row r="305" spans="1:14" x14ac:dyDescent="0.2">
      <c r="A305" s="2">
        <v>35703</v>
      </c>
      <c r="B305" s="2"/>
      <c r="C305" s="21">
        <v>1262.56</v>
      </c>
      <c r="D305" s="24">
        <f t="shared" si="20"/>
        <v>5.4761447272787978E-2</v>
      </c>
      <c r="E305" s="20"/>
      <c r="F305" s="20">
        <v>1710.24</v>
      </c>
      <c r="G305" s="24">
        <f t="shared" si="21"/>
        <v>7.3192771084337416E-2</v>
      </c>
      <c r="H305" s="20"/>
      <c r="I305" s="20">
        <v>751.35</v>
      </c>
      <c r="J305" s="24">
        <f t="shared" si="22"/>
        <v>1.4748186864389723E-2</v>
      </c>
      <c r="K305" s="20"/>
      <c r="L305" s="20">
        <v>864.9</v>
      </c>
      <c r="M305" s="14">
        <f t="shared" si="23"/>
        <v>1.5188506502652688E-2</v>
      </c>
      <c r="N305" s="35"/>
    </row>
    <row r="306" spans="1:14" x14ac:dyDescent="0.2">
      <c r="A306" s="2">
        <v>35671</v>
      </c>
      <c r="B306" s="2"/>
      <c r="C306" s="21">
        <v>1197.01</v>
      </c>
      <c r="D306" s="24">
        <f t="shared" si="20"/>
        <v>-5.6023027483143362E-2</v>
      </c>
      <c r="E306" s="20"/>
      <c r="F306" s="20">
        <v>1593.6</v>
      </c>
      <c r="G306" s="24">
        <f t="shared" si="21"/>
        <v>2.2882634230880328E-2</v>
      </c>
      <c r="H306" s="20"/>
      <c r="I306" s="20">
        <v>740.43</v>
      </c>
      <c r="J306" s="24">
        <f t="shared" si="22"/>
        <v>-8.5297268344938226E-3</v>
      </c>
      <c r="K306" s="20"/>
      <c r="L306" s="20">
        <v>851.96</v>
      </c>
      <c r="M306" s="14">
        <f t="shared" si="23"/>
        <v>-1.0131523911325879E-2</v>
      </c>
      <c r="N306" s="35"/>
    </row>
    <row r="307" spans="1:14" x14ac:dyDescent="0.2">
      <c r="A307" s="2">
        <v>35642</v>
      </c>
      <c r="B307" s="2"/>
      <c r="C307" s="21">
        <v>1268.05</v>
      </c>
      <c r="D307" s="24">
        <f t="shared" si="20"/>
        <v>7.9568189751317409E-2</v>
      </c>
      <c r="E307" s="20"/>
      <c r="F307" s="20">
        <v>1557.95</v>
      </c>
      <c r="G307" s="24">
        <f t="shared" si="21"/>
        <v>4.6531155117285117E-2</v>
      </c>
      <c r="H307" s="20"/>
      <c r="I307" s="20">
        <v>746.8</v>
      </c>
      <c r="J307" s="24">
        <f t="shared" si="22"/>
        <v>2.6966817475487792E-2</v>
      </c>
      <c r="K307" s="20"/>
      <c r="L307" s="20">
        <v>860.68</v>
      </c>
      <c r="M307" s="14">
        <f t="shared" si="23"/>
        <v>2.8684801835827223E-2</v>
      </c>
      <c r="N307" s="35"/>
    </row>
    <row r="308" spans="1:14" x14ac:dyDescent="0.2">
      <c r="A308" s="2">
        <v>35611</v>
      </c>
      <c r="B308" s="2"/>
      <c r="C308" s="21">
        <v>1174.5899999999999</v>
      </c>
      <c r="D308" s="24">
        <f t="shared" si="20"/>
        <v>4.4804397715749511E-2</v>
      </c>
      <c r="E308" s="20"/>
      <c r="F308" s="20">
        <v>1488.68</v>
      </c>
      <c r="G308" s="24">
        <f t="shared" si="21"/>
        <v>4.285814360770579E-2</v>
      </c>
      <c r="H308" s="20"/>
      <c r="I308" s="20">
        <v>727.19</v>
      </c>
      <c r="J308" s="24">
        <f t="shared" si="22"/>
        <v>1.186931233128341E-2</v>
      </c>
      <c r="K308" s="20"/>
      <c r="L308" s="20">
        <v>836.68</v>
      </c>
      <c r="M308" s="14">
        <f t="shared" si="23"/>
        <v>1.116697283186685E-2</v>
      </c>
      <c r="N308" s="35"/>
    </row>
    <row r="309" spans="1:14" x14ac:dyDescent="0.2">
      <c r="A309" s="2">
        <v>35580</v>
      </c>
      <c r="B309" s="2"/>
      <c r="C309" s="21">
        <v>1124.22</v>
      </c>
      <c r="D309" s="24">
        <f t="shared" si="20"/>
        <v>6.0885156176276212E-2</v>
      </c>
      <c r="E309" s="20"/>
      <c r="F309" s="20">
        <v>1427.5</v>
      </c>
      <c r="G309" s="24">
        <f t="shared" si="21"/>
        <v>0.11124950373270859</v>
      </c>
      <c r="H309" s="20"/>
      <c r="I309" s="20">
        <v>718.66</v>
      </c>
      <c r="J309" s="24">
        <f t="shared" si="22"/>
        <v>9.4531765763488096E-3</v>
      </c>
      <c r="K309" s="20"/>
      <c r="L309" s="20">
        <v>827.44</v>
      </c>
      <c r="M309" s="14">
        <f t="shared" si="23"/>
        <v>8.6426525263607612E-3</v>
      </c>
      <c r="N309" s="35"/>
    </row>
    <row r="310" spans="1:14" x14ac:dyDescent="0.2">
      <c r="A310" s="2">
        <v>35550</v>
      </c>
      <c r="B310" s="2"/>
      <c r="C310" s="21">
        <v>1059.7</v>
      </c>
      <c r="D310" s="24">
        <f t="shared" si="20"/>
        <v>5.9700000000000086E-2</v>
      </c>
      <c r="E310" s="20"/>
      <c r="F310" s="20">
        <v>1284.5899999999999</v>
      </c>
      <c r="G310" s="24">
        <f t="shared" si="21"/>
        <v>2.7868417354919295E-3</v>
      </c>
      <c r="H310" s="20"/>
      <c r="I310" s="20">
        <v>711.93</v>
      </c>
      <c r="J310" s="24">
        <f t="shared" si="22"/>
        <v>1.4969419614216717E-2</v>
      </c>
      <c r="K310" s="20"/>
      <c r="L310" s="20">
        <v>820.35</v>
      </c>
      <c r="M310" s="14">
        <f t="shared" si="23"/>
        <v>1.4355664366792809E-2</v>
      </c>
      <c r="N310" s="35"/>
    </row>
    <row r="311" spans="1:14" x14ac:dyDescent="0.2">
      <c r="A311" s="2">
        <v>35520</v>
      </c>
      <c r="B311" s="2"/>
      <c r="C311" s="21">
        <v>1000</v>
      </c>
      <c r="D311" s="24">
        <f t="shared" si="20"/>
        <v>-4.1089322529606287E-2</v>
      </c>
      <c r="E311" s="20"/>
      <c r="F311" s="20">
        <v>1281.02</v>
      </c>
      <c r="G311" s="24">
        <f t="shared" si="21"/>
        <v>-4.718623090311358E-2</v>
      </c>
      <c r="H311" s="20"/>
      <c r="I311" s="20">
        <v>701.43</v>
      </c>
      <c r="J311" s="24">
        <f t="shared" si="22"/>
        <v>-1.1081504039250567E-2</v>
      </c>
      <c r="K311" s="20"/>
      <c r="L311" s="20">
        <v>808.74</v>
      </c>
      <c r="M311" s="14">
        <f t="shared" si="23"/>
        <v>-1.0812397563541243E-2</v>
      </c>
      <c r="N311" s="35"/>
    </row>
    <row r="312" spans="1:14" x14ac:dyDescent="0.2">
      <c r="A312" s="2">
        <v>35489</v>
      </c>
      <c r="B312" s="2"/>
      <c r="C312" s="21">
        <v>1042.8499999999999</v>
      </c>
      <c r="D312" s="24">
        <f t="shared" si="20"/>
        <v>7.8377176875348287E-3</v>
      </c>
      <c r="E312" s="20"/>
      <c r="F312" s="20">
        <v>1344.46</v>
      </c>
      <c r="G312" s="24">
        <f t="shared" si="21"/>
        <v>-2.4247570525521178E-2</v>
      </c>
      <c r="H312" s="20"/>
      <c r="I312" s="20">
        <v>709.29</v>
      </c>
      <c r="J312" s="24">
        <f t="shared" si="22"/>
        <v>2.4875270306559116E-3</v>
      </c>
      <c r="K312" s="20"/>
      <c r="L312" s="20">
        <v>817.58</v>
      </c>
      <c r="M312" s="14">
        <f t="shared" si="23"/>
        <v>1.22461975556587E-3</v>
      </c>
      <c r="N312" s="35"/>
    </row>
    <row r="313" spans="1:14" x14ac:dyDescent="0.2">
      <c r="A313" s="2">
        <v>35461</v>
      </c>
      <c r="B313" s="2"/>
      <c r="C313" s="21">
        <v>1034.74</v>
      </c>
      <c r="D313" s="24">
        <f t="shared" si="20"/>
        <v>6.2470479515350785E-2</v>
      </c>
      <c r="E313" s="20"/>
      <c r="F313" s="20">
        <v>1377.87</v>
      </c>
      <c r="G313" s="24">
        <f t="shared" si="21"/>
        <v>1.998711941193454E-2</v>
      </c>
      <c r="H313" s="20"/>
      <c r="I313" s="20">
        <v>707.53</v>
      </c>
      <c r="J313" s="24">
        <f t="shared" si="22"/>
        <v>3.0622226632830429E-3</v>
      </c>
      <c r="K313" s="20"/>
      <c r="L313" s="20">
        <v>816.58</v>
      </c>
      <c r="M313" s="14">
        <f t="shared" si="23"/>
        <v>9.9292692793317983E-4</v>
      </c>
      <c r="N313" s="35"/>
    </row>
    <row r="314" spans="1:14" x14ac:dyDescent="0.2">
      <c r="A314" s="2">
        <v>35430</v>
      </c>
      <c r="B314" s="2"/>
      <c r="C314" s="21">
        <v>973.9</v>
      </c>
      <c r="D314" s="24">
        <f t="shared" si="20"/>
        <v>-1.9807161979911059E-2</v>
      </c>
      <c r="E314" s="20"/>
      <c r="F314" s="20">
        <v>1350.87</v>
      </c>
      <c r="G314" s="24">
        <f t="shared" si="21"/>
        <v>2.6208436837667159E-2</v>
      </c>
      <c r="H314" s="20"/>
      <c r="I314" s="20">
        <v>705.37</v>
      </c>
      <c r="J314" s="24">
        <f t="shared" si="22"/>
        <v>-9.2978833972386932E-3</v>
      </c>
      <c r="K314" s="20"/>
      <c r="L314" s="20">
        <v>815.77</v>
      </c>
      <c r="M314" s="14">
        <f t="shared" si="23"/>
        <v>-1.030014801154977E-2</v>
      </c>
      <c r="N314" s="35"/>
    </row>
    <row r="315" spans="1:14" x14ac:dyDescent="0.2">
      <c r="A315" s="2">
        <v>35398</v>
      </c>
      <c r="B315" s="2"/>
      <c r="C315" s="21">
        <v>993.58</v>
      </c>
      <c r="D315" s="24">
        <f t="shared" si="20"/>
        <v>7.5582402355590217E-2</v>
      </c>
      <c r="E315" s="20"/>
      <c r="F315" s="20">
        <v>1316.37</v>
      </c>
      <c r="G315" s="24">
        <f t="shared" si="21"/>
        <v>4.1201316164140689E-2</v>
      </c>
      <c r="H315" s="20"/>
      <c r="I315" s="20">
        <v>711.99</v>
      </c>
      <c r="J315" s="24">
        <f t="shared" si="22"/>
        <v>1.7128571428571382E-2</v>
      </c>
      <c r="K315" s="20"/>
      <c r="L315" s="20">
        <v>824.26</v>
      </c>
      <c r="M315" s="14">
        <f t="shared" si="23"/>
        <v>1.7328626792722845E-2</v>
      </c>
      <c r="N315" s="35"/>
    </row>
    <row r="316" spans="1:14" x14ac:dyDescent="0.2">
      <c r="A316" s="2">
        <v>35369</v>
      </c>
      <c r="B316" s="2"/>
      <c r="C316" s="21">
        <v>923.76</v>
      </c>
      <c r="D316" s="24">
        <f t="shared" si="20"/>
        <v>2.7576003648620118E-2</v>
      </c>
      <c r="E316" s="20"/>
      <c r="F316" s="20">
        <v>1264.28</v>
      </c>
      <c r="G316" s="24">
        <f t="shared" si="21"/>
        <v>-1.5411932371288128E-2</v>
      </c>
      <c r="H316" s="20"/>
      <c r="I316" s="20">
        <v>700</v>
      </c>
      <c r="J316" s="24">
        <f t="shared" si="22"/>
        <v>2.2151482849758208E-2</v>
      </c>
      <c r="K316" s="20"/>
      <c r="L316" s="20">
        <v>810.22</v>
      </c>
      <c r="M316" s="14">
        <f t="shared" si="23"/>
        <v>2.1972754793138316E-2</v>
      </c>
      <c r="N316" s="35"/>
    </row>
    <row r="317" spans="1:14" x14ac:dyDescent="0.2">
      <c r="A317" s="2">
        <v>35338</v>
      </c>
      <c r="B317" s="2"/>
      <c r="C317" s="21">
        <v>898.97</v>
      </c>
      <c r="D317" s="24">
        <f t="shared" si="20"/>
        <v>5.6294503325265088E-2</v>
      </c>
      <c r="E317" s="20"/>
      <c r="F317" s="20">
        <v>1284.07</v>
      </c>
      <c r="G317" s="24">
        <f t="shared" si="21"/>
        <v>3.9076534658272433E-2</v>
      </c>
      <c r="H317" s="20"/>
      <c r="I317" s="20">
        <v>684.83</v>
      </c>
      <c r="J317" s="24">
        <f t="shared" si="22"/>
        <v>1.7426831080077365E-2</v>
      </c>
      <c r="K317" s="20"/>
      <c r="L317" s="20">
        <v>792.8</v>
      </c>
      <c r="M317" s="14">
        <f t="shared" si="23"/>
        <v>1.6436318879971212E-2</v>
      </c>
      <c r="N317" s="35"/>
    </row>
    <row r="318" spans="1:14" x14ac:dyDescent="0.2">
      <c r="A318" s="2">
        <v>35307</v>
      </c>
      <c r="B318" s="2"/>
      <c r="C318" s="21">
        <v>851.06</v>
      </c>
      <c r="D318" s="24">
        <f t="shared" si="20"/>
        <v>2.1092287757354722E-2</v>
      </c>
      <c r="E318" s="20"/>
      <c r="F318" s="20">
        <v>1235.78</v>
      </c>
      <c r="G318" s="24">
        <f t="shared" si="21"/>
        <v>5.8067057090996244E-2</v>
      </c>
      <c r="H318" s="20"/>
      <c r="I318" s="20">
        <v>673.1</v>
      </c>
      <c r="J318" s="24">
        <f t="shared" si="22"/>
        <v>-1.6759859395162335E-3</v>
      </c>
      <c r="K318" s="20"/>
      <c r="L318" s="20">
        <v>779.98</v>
      </c>
      <c r="M318" s="14">
        <f t="shared" si="23"/>
        <v>-2.0854390296951575E-3</v>
      </c>
      <c r="N318" s="35"/>
    </row>
    <row r="319" spans="1:14" x14ac:dyDescent="0.2">
      <c r="A319" s="2">
        <v>35277</v>
      </c>
      <c r="B319" s="2"/>
      <c r="C319" s="21">
        <v>833.48</v>
      </c>
      <c r="D319" s="24">
        <f t="shared" si="20"/>
        <v>-4.4185273104666245E-2</v>
      </c>
      <c r="E319" s="20"/>
      <c r="F319" s="20">
        <v>1167.96</v>
      </c>
      <c r="G319" s="24">
        <f t="shared" si="21"/>
        <v>-8.7345867129260624E-2</v>
      </c>
      <c r="H319" s="20"/>
      <c r="I319" s="20">
        <v>674.23</v>
      </c>
      <c r="J319" s="24">
        <f t="shared" si="22"/>
        <v>2.7365070866609553E-3</v>
      </c>
      <c r="K319" s="20"/>
      <c r="L319" s="20">
        <v>781.61</v>
      </c>
      <c r="M319" s="14">
        <f t="shared" si="23"/>
        <v>2.3725248794501663E-3</v>
      </c>
      <c r="N319" s="35"/>
    </row>
    <row r="320" spans="1:14" x14ac:dyDescent="0.2">
      <c r="A320" s="2">
        <v>35244</v>
      </c>
      <c r="B320" s="2"/>
      <c r="C320" s="21">
        <v>872.01</v>
      </c>
      <c r="D320" s="24">
        <f t="shared" si="20"/>
        <v>3.821846688692121E-3</v>
      </c>
      <c r="E320" s="20"/>
      <c r="F320" s="20">
        <v>1279.74</v>
      </c>
      <c r="G320" s="24">
        <f t="shared" si="21"/>
        <v>-4.106283813149092E-2</v>
      </c>
      <c r="H320" s="20"/>
      <c r="I320" s="20">
        <v>672.39</v>
      </c>
      <c r="J320" s="24">
        <f t="shared" si="22"/>
        <v>1.3429191535539786E-2</v>
      </c>
      <c r="K320" s="20"/>
      <c r="L320" s="20">
        <v>779.76</v>
      </c>
      <c r="M320" s="14">
        <f t="shared" si="23"/>
        <v>1.2675324675324617E-2</v>
      </c>
      <c r="N320" s="35"/>
    </row>
    <row r="321" spans="1:14" x14ac:dyDescent="0.2">
      <c r="A321" s="2">
        <v>35216</v>
      </c>
      <c r="B321" s="2"/>
      <c r="C321" s="21">
        <v>868.69</v>
      </c>
      <c r="D321" s="24">
        <f t="shared" si="20"/>
        <v>2.5789691208596643E-2</v>
      </c>
      <c r="E321" s="20"/>
      <c r="F321" s="20">
        <v>1334.54</v>
      </c>
      <c r="G321" s="24">
        <f t="shared" si="21"/>
        <v>3.940994127451436E-2</v>
      </c>
      <c r="H321" s="20"/>
      <c r="I321" s="20">
        <v>663.48</v>
      </c>
      <c r="J321" s="24">
        <f t="shared" si="22"/>
        <v>-2.0305942872614891E-3</v>
      </c>
      <c r="K321" s="20"/>
      <c r="L321" s="20">
        <v>770</v>
      </c>
      <c r="M321" s="14">
        <f t="shared" si="23"/>
        <v>-1.6207455429497752E-3</v>
      </c>
      <c r="N321" s="35"/>
    </row>
    <row r="322" spans="1:14" x14ac:dyDescent="0.2">
      <c r="A322" s="2">
        <v>35185</v>
      </c>
      <c r="B322" s="2"/>
      <c r="C322" s="21">
        <v>846.85</v>
      </c>
      <c r="D322" s="24">
        <f t="shared" si="20"/>
        <v>1.473848181654791E-2</v>
      </c>
      <c r="E322" s="20"/>
      <c r="F322" s="20">
        <v>1283.94</v>
      </c>
      <c r="G322" s="24">
        <f t="shared" si="21"/>
        <v>5.3471943024524737E-2</v>
      </c>
      <c r="H322" s="20"/>
      <c r="I322" s="20">
        <v>664.83</v>
      </c>
      <c r="J322" s="24">
        <f t="shared" si="22"/>
        <v>-5.6237754079480062E-3</v>
      </c>
      <c r="K322" s="20"/>
      <c r="L322" s="20">
        <v>771.25</v>
      </c>
      <c r="M322" s="14">
        <f t="shared" si="23"/>
        <v>-6.4028239416660249E-3</v>
      </c>
      <c r="N322" s="35"/>
    </row>
    <row r="323" spans="1:14" x14ac:dyDescent="0.2">
      <c r="A323" s="2">
        <v>35153</v>
      </c>
      <c r="B323" s="2"/>
      <c r="C323" s="21">
        <v>834.55</v>
      </c>
      <c r="D323" s="24">
        <f t="shared" si="20"/>
        <v>9.6299253559803955E-3</v>
      </c>
      <c r="E323" s="20"/>
      <c r="F323" s="20">
        <v>1218.77</v>
      </c>
      <c r="G323" s="24">
        <f t="shared" si="21"/>
        <v>2.0352293086415507E-2</v>
      </c>
      <c r="H323" s="20"/>
      <c r="I323" s="20">
        <v>668.59</v>
      </c>
      <c r="J323" s="24">
        <f t="shared" si="22"/>
        <v>-6.9511488704382396E-3</v>
      </c>
      <c r="K323" s="20"/>
      <c r="L323" s="20">
        <v>776.22</v>
      </c>
      <c r="M323" s="14">
        <f t="shared" si="23"/>
        <v>-8.6463428651706309E-3</v>
      </c>
      <c r="N323" s="35"/>
    </row>
    <row r="324" spans="1:14" x14ac:dyDescent="0.2">
      <c r="A324" s="2">
        <v>35124</v>
      </c>
      <c r="B324" s="2"/>
      <c r="C324" s="21">
        <v>826.59</v>
      </c>
      <c r="D324" s="24">
        <f t="shared" si="20"/>
        <v>9.2673992673992789E-3</v>
      </c>
      <c r="E324" s="20"/>
      <c r="F324" s="20">
        <v>1194.46</v>
      </c>
      <c r="G324" s="24">
        <f t="shared" si="21"/>
        <v>3.116475016402509E-2</v>
      </c>
      <c r="H324" s="20"/>
      <c r="I324" s="20">
        <v>673.27</v>
      </c>
      <c r="J324" s="24">
        <f t="shared" si="22"/>
        <v>-1.7382293703844254E-2</v>
      </c>
      <c r="K324" s="20"/>
      <c r="L324" s="20">
        <v>782.99</v>
      </c>
      <c r="M324" s="14">
        <f t="shared" si="23"/>
        <v>-2.0478883106485157E-2</v>
      </c>
      <c r="N324" s="35"/>
    </row>
    <row r="325" spans="1:14" x14ac:dyDescent="0.2">
      <c r="A325" s="2">
        <v>35095</v>
      </c>
      <c r="B325" s="2"/>
      <c r="C325" s="21">
        <v>819</v>
      </c>
      <c r="D325" s="24">
        <f t="shared" si="20"/>
        <v>3.403868491490325E-2</v>
      </c>
      <c r="E325" s="20"/>
      <c r="F325" s="20">
        <v>1158.3599999999999</v>
      </c>
      <c r="G325" s="24">
        <f t="shared" si="21"/>
        <v>-1.069334253190779E-3</v>
      </c>
      <c r="H325" s="20"/>
      <c r="I325" s="20">
        <v>685.18</v>
      </c>
      <c r="J325" s="24">
        <f t="shared" si="22"/>
        <v>6.6406135221697138E-3</v>
      </c>
      <c r="K325" s="20"/>
      <c r="L325" s="20">
        <v>799.36</v>
      </c>
      <c r="M325" s="14">
        <f t="shared" si="23"/>
        <v>6.3070434946812526E-3</v>
      </c>
      <c r="N325" s="35"/>
    </row>
    <row r="326" spans="1:14" x14ac:dyDescent="0.2">
      <c r="A326" s="2">
        <v>35062</v>
      </c>
      <c r="B326" s="2"/>
      <c r="C326" s="21">
        <v>792.04</v>
      </c>
      <c r="D326" s="24">
        <f t="shared" si="20"/>
        <v>1.9264673710219116E-2</v>
      </c>
      <c r="E326" s="20"/>
      <c r="F326" s="20">
        <v>1159.5999999999999</v>
      </c>
      <c r="G326" s="24">
        <f t="shared" si="21"/>
        <v>2.6385434461271506E-2</v>
      </c>
      <c r="H326" s="20"/>
      <c r="I326" s="20">
        <v>680.66</v>
      </c>
      <c r="J326" s="24">
        <f t="shared" si="22"/>
        <v>1.4033728621655417E-2</v>
      </c>
      <c r="K326" s="20"/>
      <c r="L326" s="20">
        <v>794.35</v>
      </c>
      <c r="M326" s="14">
        <f t="shared" si="23"/>
        <v>1.4314171157136624E-2</v>
      </c>
      <c r="N326" s="35"/>
    </row>
    <row r="327" spans="1:14" x14ac:dyDescent="0.2">
      <c r="A327" s="2">
        <v>35033</v>
      </c>
      <c r="B327" s="2"/>
      <c r="C327" s="21">
        <v>777.07</v>
      </c>
      <c r="D327" s="24">
        <f t="shared" si="20"/>
        <v>4.3887694787748677E-2</v>
      </c>
      <c r="E327" s="20"/>
      <c r="F327" s="20">
        <v>1129.79</v>
      </c>
      <c r="G327" s="24">
        <f t="shared" si="21"/>
        <v>4.2010993875894576E-2</v>
      </c>
      <c r="H327" s="20"/>
      <c r="I327" s="20">
        <v>671.24</v>
      </c>
      <c r="J327" s="24">
        <f t="shared" si="22"/>
        <v>1.4984954561262809E-2</v>
      </c>
      <c r="K327" s="20"/>
      <c r="L327" s="20">
        <v>783.14</v>
      </c>
      <c r="M327" s="14">
        <f t="shared" si="23"/>
        <v>1.5495532877760176E-2</v>
      </c>
      <c r="N327" s="35"/>
    </row>
    <row r="328" spans="1:14" x14ac:dyDescent="0.2">
      <c r="A328" s="2">
        <v>35003</v>
      </c>
      <c r="B328" s="2"/>
      <c r="C328" s="21">
        <v>744.4</v>
      </c>
      <c r="D328" s="24">
        <f t="shared" si="20"/>
        <v>-3.5739622793046211E-3</v>
      </c>
      <c r="E328" s="20"/>
      <c r="F328" s="20">
        <v>1084.24</v>
      </c>
      <c r="G328" s="24">
        <f t="shared" si="21"/>
        <v>-4.4722466960352425E-2</v>
      </c>
      <c r="H328" s="20"/>
      <c r="I328" s="20">
        <v>661.33</v>
      </c>
      <c r="J328" s="24">
        <f t="shared" si="22"/>
        <v>1.3004717848171143E-2</v>
      </c>
      <c r="K328" s="20"/>
      <c r="L328" s="20">
        <v>771.19</v>
      </c>
      <c r="M328" s="14">
        <f t="shared" si="23"/>
        <v>1.5458555533609752E-2</v>
      </c>
      <c r="N328" s="35"/>
    </row>
    <row r="329" spans="1:14" x14ac:dyDescent="0.2">
      <c r="A329" s="2">
        <v>34971</v>
      </c>
      <c r="B329" s="2"/>
      <c r="C329" s="21">
        <v>747.07</v>
      </c>
      <c r="D329" s="24">
        <f t="shared" si="20"/>
        <v>4.220027342987076E-2</v>
      </c>
      <c r="E329" s="20"/>
      <c r="F329" s="20">
        <v>1135</v>
      </c>
      <c r="G329" s="24">
        <f t="shared" si="21"/>
        <v>1.7855061026464281E-2</v>
      </c>
      <c r="H329" s="20"/>
      <c r="I329" s="20">
        <v>652.84</v>
      </c>
      <c r="J329" s="24">
        <f t="shared" si="22"/>
        <v>9.7285592761582329E-3</v>
      </c>
      <c r="K329" s="20"/>
      <c r="L329" s="20">
        <v>759.45</v>
      </c>
      <c r="M329" s="14">
        <f t="shared" si="23"/>
        <v>9.5847070084016384E-3</v>
      </c>
      <c r="N329" s="35"/>
    </row>
    <row r="330" spans="1:14" x14ac:dyDescent="0.2">
      <c r="A330" s="2">
        <v>34942</v>
      </c>
      <c r="B330" s="2"/>
      <c r="C330" s="21">
        <v>716.82</v>
      </c>
      <c r="D330" s="24">
        <f t="shared" si="20"/>
        <v>2.5174121003608274E-3</v>
      </c>
      <c r="E330" s="20"/>
      <c r="F330" s="20">
        <v>1115.0899999999999</v>
      </c>
      <c r="G330" s="24">
        <f t="shared" si="21"/>
        <v>2.0686688207672388E-2</v>
      </c>
      <c r="H330" s="20"/>
      <c r="I330" s="20">
        <v>646.54999999999995</v>
      </c>
      <c r="J330" s="24">
        <f t="shared" si="22"/>
        <v>1.2068749608665552E-2</v>
      </c>
      <c r="K330" s="20"/>
      <c r="L330" s="20">
        <v>752.24</v>
      </c>
      <c r="M330" s="14">
        <f t="shared" si="23"/>
        <v>1.1591942120975807E-2</v>
      </c>
      <c r="N330" s="35"/>
    </row>
    <row r="331" spans="1:14" x14ac:dyDescent="0.2">
      <c r="A331" s="2">
        <v>34911</v>
      </c>
      <c r="B331" s="2"/>
      <c r="C331" s="21">
        <v>715.02</v>
      </c>
      <c r="D331" s="24">
        <f t="shared" si="20"/>
        <v>3.3161385408990274E-2</v>
      </c>
      <c r="E331" s="20"/>
      <c r="F331" s="20">
        <v>1092.49</v>
      </c>
      <c r="G331" s="24">
        <f t="shared" si="21"/>
        <v>5.7610021491219632E-2</v>
      </c>
      <c r="H331" s="20"/>
      <c r="I331" s="20">
        <v>638.84</v>
      </c>
      <c r="J331" s="24">
        <f t="shared" si="22"/>
        <v>-2.2334327705498813E-3</v>
      </c>
      <c r="K331" s="20"/>
      <c r="L331" s="20">
        <v>743.62</v>
      </c>
      <c r="M331" s="14">
        <f t="shared" si="23"/>
        <v>-3.7111965594394114E-3</v>
      </c>
      <c r="N331" s="35"/>
    </row>
    <row r="332" spans="1:14" x14ac:dyDescent="0.2">
      <c r="A332" s="2">
        <v>34880</v>
      </c>
      <c r="B332" s="2"/>
      <c r="C332" s="21">
        <v>692.07</v>
      </c>
      <c r="D332" s="24">
        <f t="shared" si="20"/>
        <v>2.3227275415459214E-2</v>
      </c>
      <c r="E332" s="20"/>
      <c r="F332" s="20">
        <v>1032.98</v>
      </c>
      <c r="G332" s="24">
        <f t="shared" si="21"/>
        <v>5.1871614190867943E-2</v>
      </c>
      <c r="H332" s="20"/>
      <c r="I332" s="20">
        <v>640.27</v>
      </c>
      <c r="J332" s="24">
        <f t="shared" si="22"/>
        <v>7.3315397806830163E-3</v>
      </c>
      <c r="K332" s="20"/>
      <c r="L332" s="20">
        <v>746.39</v>
      </c>
      <c r="M332" s="14">
        <f t="shared" si="23"/>
        <v>7.8860306528931723E-3</v>
      </c>
      <c r="N332" s="35"/>
    </row>
    <row r="333" spans="1:14" x14ac:dyDescent="0.2">
      <c r="A333" s="2">
        <v>34850</v>
      </c>
      <c r="B333" s="2"/>
      <c r="C333" s="21">
        <v>676.36</v>
      </c>
      <c r="D333" s="24">
        <f t="shared" si="20"/>
        <v>3.9977858416876844E-2</v>
      </c>
      <c r="E333" s="20"/>
      <c r="F333" s="20">
        <v>982.04</v>
      </c>
      <c r="G333" s="24">
        <f t="shared" si="21"/>
        <v>1.7194232681471577E-2</v>
      </c>
      <c r="H333" s="20"/>
      <c r="I333" s="20">
        <v>635.61</v>
      </c>
      <c r="J333" s="24">
        <f t="shared" si="22"/>
        <v>3.8697236612030839E-2</v>
      </c>
      <c r="K333" s="20"/>
      <c r="L333" s="20">
        <v>740.55</v>
      </c>
      <c r="M333" s="14">
        <f t="shared" si="23"/>
        <v>4.0434409991991771E-2</v>
      </c>
      <c r="N333" s="35"/>
    </row>
    <row r="334" spans="1:14" x14ac:dyDescent="0.2">
      <c r="A334" s="2">
        <v>34817</v>
      </c>
      <c r="B334" s="2"/>
      <c r="C334" s="21">
        <v>650.36</v>
      </c>
      <c r="D334" s="24">
        <f t="shared" si="20"/>
        <v>2.9441560086108653E-2</v>
      </c>
      <c r="E334" s="20"/>
      <c r="F334" s="20">
        <v>965.44</v>
      </c>
      <c r="G334" s="24">
        <f t="shared" si="21"/>
        <v>2.2235398754817615E-2</v>
      </c>
      <c r="H334" s="20"/>
      <c r="I334" s="20">
        <v>611.92999999999995</v>
      </c>
      <c r="J334" s="24">
        <f t="shared" si="22"/>
        <v>1.3968516984258494E-2</v>
      </c>
      <c r="K334" s="20"/>
      <c r="L334" s="20">
        <v>711.77</v>
      </c>
      <c r="M334" s="14">
        <f t="shared" si="23"/>
        <v>1.3080360955336046E-2</v>
      </c>
      <c r="N334" s="35"/>
    </row>
    <row r="335" spans="1:14" x14ac:dyDescent="0.2">
      <c r="A335" s="2">
        <v>34789</v>
      </c>
      <c r="B335" s="2"/>
      <c r="C335" s="21">
        <v>631.76</v>
      </c>
      <c r="D335" s="24">
        <f t="shared" si="20"/>
        <v>2.9511936771775549E-2</v>
      </c>
      <c r="E335" s="20"/>
      <c r="F335" s="20">
        <v>944.44</v>
      </c>
      <c r="G335" s="24">
        <f t="shared" si="21"/>
        <v>1.722225214066464E-2</v>
      </c>
      <c r="H335" s="20"/>
      <c r="I335" s="20">
        <v>603.5</v>
      </c>
      <c r="J335" s="24">
        <f t="shared" si="22"/>
        <v>6.1351738854988902E-3</v>
      </c>
      <c r="K335" s="20"/>
      <c r="L335" s="20">
        <v>702.58</v>
      </c>
      <c r="M335" s="14">
        <f t="shared" si="23"/>
        <v>6.2876867328376385E-3</v>
      </c>
      <c r="N335" s="35"/>
    </row>
    <row r="336" spans="1:14" x14ac:dyDescent="0.2">
      <c r="A336" s="2">
        <v>34758</v>
      </c>
      <c r="B336" s="2"/>
      <c r="C336" s="21">
        <v>613.65</v>
      </c>
      <c r="D336" s="24">
        <f t="shared" si="20"/>
        <v>3.8957740755790393E-2</v>
      </c>
      <c r="E336" s="20"/>
      <c r="F336" s="20">
        <v>928.45</v>
      </c>
      <c r="G336" s="24">
        <f t="shared" si="21"/>
        <v>4.1598887106364391E-2</v>
      </c>
      <c r="H336" s="20"/>
      <c r="I336" s="20">
        <v>599.82000000000005</v>
      </c>
      <c r="J336" s="24">
        <f t="shared" si="22"/>
        <v>2.3775794091041025E-2</v>
      </c>
      <c r="K336" s="20"/>
      <c r="L336" s="20">
        <v>698.19</v>
      </c>
      <c r="M336" s="14">
        <f t="shared" si="23"/>
        <v>2.1342890579286289E-2</v>
      </c>
      <c r="N336" s="35"/>
    </row>
    <row r="337" spans="1:14" x14ac:dyDescent="0.2">
      <c r="A337" s="2">
        <v>34730</v>
      </c>
      <c r="B337" s="2"/>
      <c r="C337" s="21">
        <v>590.64</v>
      </c>
      <c r="D337" s="24">
        <f t="shared" si="20"/>
        <v>2.5951016154246886E-2</v>
      </c>
      <c r="E337" s="20"/>
      <c r="F337" s="20">
        <v>891.37</v>
      </c>
      <c r="G337" s="24">
        <f t="shared" si="21"/>
        <v>-1.2616863839780224E-2</v>
      </c>
      <c r="H337" s="20"/>
      <c r="I337" s="20">
        <v>585.89</v>
      </c>
      <c r="J337" s="24">
        <f t="shared" si="22"/>
        <v>1.9790433753394066E-2</v>
      </c>
      <c r="K337" s="20"/>
      <c r="L337" s="20">
        <v>683.6</v>
      </c>
      <c r="M337" s="14">
        <f t="shared" si="23"/>
        <v>1.8504723025120073E-2</v>
      </c>
      <c r="N337" s="35"/>
    </row>
    <row r="338" spans="1:14" x14ac:dyDescent="0.2">
      <c r="A338" s="2">
        <v>34698</v>
      </c>
      <c r="B338" s="2"/>
      <c r="C338" s="21">
        <v>575.70000000000005</v>
      </c>
      <c r="D338" s="24">
        <f t="shared" si="20"/>
        <v>1.4824869114562267E-2</v>
      </c>
      <c r="E338" s="20"/>
      <c r="F338" s="20">
        <v>902.76</v>
      </c>
      <c r="G338" s="24">
        <f t="shared" si="21"/>
        <v>2.6867165639147261E-2</v>
      </c>
      <c r="H338" s="20"/>
      <c r="I338" s="20">
        <v>574.52</v>
      </c>
      <c r="J338" s="24">
        <f t="shared" si="22"/>
        <v>6.9052543026393298E-3</v>
      </c>
      <c r="K338" s="20"/>
      <c r="L338" s="20">
        <v>671.18</v>
      </c>
      <c r="M338" s="14">
        <f t="shared" si="23"/>
        <v>6.1311067472153979E-3</v>
      </c>
      <c r="N338" s="35"/>
    </row>
    <row r="339" spans="1:14" x14ac:dyDescent="0.2">
      <c r="A339" s="2">
        <v>34668</v>
      </c>
      <c r="B339" s="2"/>
      <c r="C339" s="21">
        <v>567.29</v>
      </c>
      <c r="D339" s="24">
        <f t="shared" ref="D339:D402" si="24">C339/C340-1</f>
        <v>-3.6417372989316021E-2</v>
      </c>
      <c r="E339" s="20"/>
      <c r="F339" s="20">
        <v>879.14</v>
      </c>
      <c r="G339" s="24">
        <f t="shared" ref="G339:G402" si="25">F339/F340-1</f>
        <v>-4.0386840439234128E-2</v>
      </c>
      <c r="H339" s="20"/>
      <c r="I339" s="20">
        <v>570.58000000000004</v>
      </c>
      <c r="J339" s="24">
        <f t="shared" ref="J339:J402" si="26">I339/I340-1</f>
        <v>-2.2208621141907026E-3</v>
      </c>
      <c r="K339" s="20"/>
      <c r="L339" s="20">
        <v>667.09</v>
      </c>
      <c r="M339" s="14">
        <f t="shared" ref="M339:M402" si="27">L339/L340-1</f>
        <v>-2.0046975749142826E-3</v>
      </c>
      <c r="N339" s="35"/>
    </row>
    <row r="340" spans="1:14" x14ac:dyDescent="0.2">
      <c r="A340" s="2">
        <v>34638</v>
      </c>
      <c r="B340" s="2"/>
      <c r="C340" s="21">
        <v>588.73</v>
      </c>
      <c r="D340" s="24">
        <f t="shared" si="24"/>
        <v>2.2473471230830766E-2</v>
      </c>
      <c r="E340" s="20"/>
      <c r="F340" s="20">
        <v>916.14</v>
      </c>
      <c r="G340" s="24">
        <f t="shared" si="25"/>
        <v>-3.946638833621452E-3</v>
      </c>
      <c r="H340" s="20"/>
      <c r="I340" s="20">
        <v>571.85</v>
      </c>
      <c r="J340" s="24">
        <f t="shared" si="26"/>
        <v>-8.9104759242430998E-4</v>
      </c>
      <c r="K340" s="20"/>
      <c r="L340" s="20">
        <v>668.43</v>
      </c>
      <c r="M340" s="14">
        <f t="shared" si="27"/>
        <v>-6.2794348508643516E-4</v>
      </c>
      <c r="N340" s="35"/>
    </row>
    <row r="341" spans="1:14" x14ac:dyDescent="0.2">
      <c r="A341" s="2">
        <v>34607</v>
      </c>
      <c r="B341" s="2"/>
      <c r="C341" s="21">
        <v>575.79</v>
      </c>
      <c r="D341" s="24">
        <f t="shared" si="24"/>
        <v>-2.4465039052572801E-2</v>
      </c>
      <c r="E341" s="20"/>
      <c r="F341" s="20">
        <v>919.77</v>
      </c>
      <c r="G341" s="24">
        <f t="shared" si="25"/>
        <v>-3.3482868474091765E-3</v>
      </c>
      <c r="H341" s="20"/>
      <c r="I341" s="20">
        <v>572.36</v>
      </c>
      <c r="J341" s="24">
        <f t="shared" si="26"/>
        <v>-1.4718286825842086E-2</v>
      </c>
      <c r="K341" s="20"/>
      <c r="L341" s="20">
        <v>668.85</v>
      </c>
      <c r="M341" s="14">
        <f t="shared" si="27"/>
        <v>-1.4048173590023305E-2</v>
      </c>
      <c r="N341" s="35"/>
    </row>
    <row r="342" spans="1:14" x14ac:dyDescent="0.2">
      <c r="A342" s="2">
        <v>34577</v>
      </c>
      <c r="B342" s="2"/>
      <c r="C342" s="21">
        <v>590.23</v>
      </c>
      <c r="D342" s="24">
        <f t="shared" si="24"/>
        <v>4.1006737451056541E-2</v>
      </c>
      <c r="E342" s="20"/>
      <c r="F342" s="20">
        <v>922.86</v>
      </c>
      <c r="G342" s="24">
        <f t="shared" si="25"/>
        <v>5.5722702053423445E-2</v>
      </c>
      <c r="H342" s="20"/>
      <c r="I342" s="20">
        <v>580.91</v>
      </c>
      <c r="J342" s="24">
        <f t="shared" si="26"/>
        <v>1.2409727847773055E-3</v>
      </c>
      <c r="K342" s="20"/>
      <c r="L342" s="20">
        <v>678.38</v>
      </c>
      <c r="M342" s="14">
        <f t="shared" si="27"/>
        <v>2.3591165108660661E-4</v>
      </c>
      <c r="N342" s="35"/>
    </row>
    <row r="343" spans="1:14" x14ac:dyDescent="0.2">
      <c r="A343" s="2">
        <v>34544</v>
      </c>
      <c r="B343" s="2"/>
      <c r="C343" s="21">
        <v>566.98</v>
      </c>
      <c r="D343" s="24">
        <f t="shared" si="24"/>
        <v>3.2825706791022924E-2</v>
      </c>
      <c r="E343" s="20"/>
      <c r="F343" s="20">
        <v>874.15</v>
      </c>
      <c r="G343" s="24">
        <f t="shared" si="25"/>
        <v>1.6429850468593798E-2</v>
      </c>
      <c r="H343" s="20"/>
      <c r="I343" s="20">
        <v>580.19000000000005</v>
      </c>
      <c r="J343" s="24">
        <f t="shared" si="26"/>
        <v>1.9863242454604801E-2</v>
      </c>
      <c r="K343" s="20"/>
      <c r="L343" s="20">
        <v>678.22</v>
      </c>
      <c r="M343" s="14">
        <f t="shared" si="27"/>
        <v>1.8226038914244569E-2</v>
      </c>
      <c r="N343" s="35"/>
    </row>
    <row r="344" spans="1:14" x14ac:dyDescent="0.2">
      <c r="A344" s="2">
        <v>34515</v>
      </c>
      <c r="B344" s="2"/>
      <c r="C344" s="21">
        <v>548.96</v>
      </c>
      <c r="D344" s="24">
        <f t="shared" si="24"/>
        <v>-2.450466459351397E-2</v>
      </c>
      <c r="E344" s="20"/>
      <c r="F344" s="20">
        <v>860.02</v>
      </c>
      <c r="G344" s="24">
        <f t="shared" si="25"/>
        <v>-3.3956753720864929E-2</v>
      </c>
      <c r="H344" s="20"/>
      <c r="I344" s="20">
        <v>568.89</v>
      </c>
      <c r="J344" s="24">
        <f t="shared" si="26"/>
        <v>-2.2099447513812542E-3</v>
      </c>
      <c r="K344" s="20"/>
      <c r="L344" s="20">
        <v>666.08</v>
      </c>
      <c r="M344" s="14">
        <f t="shared" si="27"/>
        <v>-2.2469217172473854E-3</v>
      </c>
      <c r="N344" s="35"/>
    </row>
    <row r="345" spans="1:14" x14ac:dyDescent="0.2">
      <c r="A345" s="2">
        <v>34485</v>
      </c>
      <c r="B345" s="2"/>
      <c r="C345" s="21">
        <v>562.75</v>
      </c>
      <c r="D345" s="24">
        <f t="shared" si="24"/>
        <v>1.6418018278365754E-2</v>
      </c>
      <c r="E345" s="20"/>
      <c r="F345" s="20">
        <v>890.25</v>
      </c>
      <c r="G345" s="24">
        <f t="shared" si="25"/>
        <v>-1.1228841796614653E-2</v>
      </c>
      <c r="H345" s="20"/>
      <c r="I345" s="20">
        <v>570.15</v>
      </c>
      <c r="J345" s="24">
        <f t="shared" si="26"/>
        <v>-1.4029426722561578E-4</v>
      </c>
      <c r="K345" s="20"/>
      <c r="L345" s="20">
        <v>667.58</v>
      </c>
      <c r="M345" s="14">
        <f t="shared" si="27"/>
        <v>-1.2118673229700727E-3</v>
      </c>
      <c r="N345" s="35"/>
    </row>
    <row r="346" spans="1:14" x14ac:dyDescent="0.2">
      <c r="A346" s="2">
        <v>34453</v>
      </c>
      <c r="B346" s="2"/>
      <c r="C346" s="21">
        <v>553.66</v>
      </c>
      <c r="D346" s="24">
        <f t="shared" si="24"/>
        <v>1.2823561693954044E-2</v>
      </c>
      <c r="E346" s="20"/>
      <c r="F346" s="20">
        <v>900.36</v>
      </c>
      <c r="G346" s="24">
        <f t="shared" si="25"/>
        <v>5.943868430461352E-3</v>
      </c>
      <c r="H346" s="20"/>
      <c r="I346" s="20">
        <v>570.23</v>
      </c>
      <c r="J346" s="24">
        <f t="shared" si="26"/>
        <v>-7.9851083817543689E-3</v>
      </c>
      <c r="K346" s="20"/>
      <c r="L346" s="20">
        <v>668.39</v>
      </c>
      <c r="M346" s="14">
        <f t="shared" si="27"/>
        <v>-7.8229373868122787E-3</v>
      </c>
      <c r="N346" s="35"/>
    </row>
    <row r="347" spans="1:14" x14ac:dyDescent="0.2">
      <c r="A347" s="2">
        <v>34424</v>
      </c>
      <c r="B347" s="2"/>
      <c r="C347" s="21">
        <v>546.65</v>
      </c>
      <c r="D347" s="24">
        <f t="shared" si="24"/>
        <v>-4.3599209195724131E-2</v>
      </c>
      <c r="E347" s="20"/>
      <c r="F347" s="20">
        <v>895.04</v>
      </c>
      <c r="G347" s="24">
        <f t="shared" si="25"/>
        <v>-5.2797561724148845E-2</v>
      </c>
      <c r="H347" s="20"/>
      <c r="I347" s="20">
        <v>574.82000000000005</v>
      </c>
      <c r="J347" s="24">
        <f t="shared" si="26"/>
        <v>-2.4654280139136286E-2</v>
      </c>
      <c r="K347" s="20"/>
      <c r="L347" s="20">
        <v>673.66</v>
      </c>
      <c r="M347" s="14">
        <f t="shared" si="27"/>
        <v>-2.2434409101462771E-2</v>
      </c>
      <c r="N347" s="35"/>
    </row>
    <row r="348" spans="1:14" x14ac:dyDescent="0.2">
      <c r="A348" s="2">
        <v>34393</v>
      </c>
      <c r="B348" s="2"/>
      <c r="C348" s="21">
        <v>571.57000000000005</v>
      </c>
      <c r="D348" s="24">
        <f t="shared" si="24"/>
        <v>-2.7148011982570663E-2</v>
      </c>
      <c r="E348" s="20"/>
      <c r="F348" s="20">
        <v>944.93</v>
      </c>
      <c r="G348" s="24">
        <f t="shared" si="25"/>
        <v>-3.616770002952574E-3</v>
      </c>
      <c r="H348" s="20"/>
      <c r="I348" s="20">
        <v>589.35</v>
      </c>
      <c r="J348" s="24">
        <f t="shared" si="26"/>
        <v>-1.7373326441802672E-2</v>
      </c>
      <c r="K348" s="20"/>
      <c r="L348" s="20">
        <v>689.12</v>
      </c>
      <c r="M348" s="14">
        <f t="shared" si="27"/>
        <v>-2.1469953424968713E-2</v>
      </c>
      <c r="N348" s="35"/>
    </row>
    <row r="349" spans="1:14" x14ac:dyDescent="0.2">
      <c r="A349" s="2">
        <v>34365</v>
      </c>
      <c r="B349" s="2"/>
      <c r="C349" s="21">
        <v>587.52</v>
      </c>
      <c r="D349" s="24">
        <f t="shared" si="24"/>
        <v>3.4002111932418089E-2</v>
      </c>
      <c r="E349" s="20"/>
      <c r="F349" s="20">
        <v>948.36</v>
      </c>
      <c r="G349" s="24">
        <f t="shared" si="25"/>
        <v>3.1352973801833661E-2</v>
      </c>
      <c r="H349" s="20"/>
      <c r="I349" s="20">
        <v>599.77</v>
      </c>
      <c r="J349" s="24">
        <f t="shared" si="26"/>
        <v>1.3501639122647013E-2</v>
      </c>
      <c r="K349" s="20"/>
      <c r="L349" s="20">
        <v>704.24</v>
      </c>
      <c r="M349" s="14">
        <f t="shared" si="27"/>
        <v>1.3776325449494031E-2</v>
      </c>
      <c r="N349" s="35"/>
    </row>
    <row r="350" spans="1:14" x14ac:dyDescent="0.2">
      <c r="A350" s="2">
        <v>34334</v>
      </c>
      <c r="B350" s="2"/>
      <c r="C350" s="21">
        <v>568.20000000000005</v>
      </c>
      <c r="D350" s="24">
        <f t="shared" si="24"/>
        <v>1.2094547656792853E-2</v>
      </c>
      <c r="E350" s="20"/>
      <c r="F350" s="20">
        <v>919.53</v>
      </c>
      <c r="G350" s="24">
        <f t="shared" si="25"/>
        <v>3.4190725765635976E-2</v>
      </c>
      <c r="H350" s="20"/>
      <c r="I350" s="20">
        <v>591.78</v>
      </c>
      <c r="J350" s="24">
        <f t="shared" si="26"/>
        <v>5.4197319016631162E-3</v>
      </c>
      <c r="K350" s="20"/>
      <c r="L350" s="20">
        <v>694.67</v>
      </c>
      <c r="M350" s="14">
        <f t="shared" si="27"/>
        <v>3.8583815028900847E-3</v>
      </c>
      <c r="N350" s="35"/>
    </row>
    <row r="351" spans="1:14" x14ac:dyDescent="0.2">
      <c r="A351" s="2">
        <v>34303</v>
      </c>
      <c r="B351" s="2"/>
      <c r="C351" s="21">
        <v>561.41</v>
      </c>
      <c r="D351" s="24">
        <f t="shared" si="24"/>
        <v>-9.54447620055765E-3</v>
      </c>
      <c r="E351" s="20"/>
      <c r="F351" s="20">
        <v>889.13</v>
      </c>
      <c r="G351" s="24">
        <f t="shared" si="25"/>
        <v>-3.2913127182153334E-2</v>
      </c>
      <c r="H351" s="20"/>
      <c r="I351" s="20">
        <v>588.59</v>
      </c>
      <c r="J351" s="24">
        <f t="shared" si="26"/>
        <v>-8.5068391617815209E-3</v>
      </c>
      <c r="K351" s="20"/>
      <c r="L351" s="20">
        <v>692</v>
      </c>
      <c r="M351" s="14">
        <f t="shared" si="27"/>
        <v>-1.0962310803664499E-2</v>
      </c>
      <c r="N351" s="35"/>
    </row>
    <row r="352" spans="1:14" x14ac:dyDescent="0.2">
      <c r="A352" s="2">
        <v>34271</v>
      </c>
      <c r="B352" s="2"/>
      <c r="C352" s="21">
        <v>566.82000000000005</v>
      </c>
      <c r="D352" s="24">
        <f t="shared" si="24"/>
        <v>2.0690400302522782E-2</v>
      </c>
      <c r="E352" s="20"/>
      <c r="F352" s="20">
        <v>919.39</v>
      </c>
      <c r="G352" s="24">
        <f t="shared" si="25"/>
        <v>2.5738575508746697E-2</v>
      </c>
      <c r="H352" s="20"/>
      <c r="I352" s="20">
        <v>593.64</v>
      </c>
      <c r="J352" s="24">
        <f t="shared" si="26"/>
        <v>3.7367059499857636E-3</v>
      </c>
      <c r="K352" s="20"/>
      <c r="L352" s="20">
        <v>699.67</v>
      </c>
      <c r="M352" s="14">
        <f t="shared" si="27"/>
        <v>3.7298980016353678E-3</v>
      </c>
      <c r="N352" s="35"/>
    </row>
    <row r="353" spans="1:14" x14ac:dyDescent="0.2">
      <c r="A353" s="2">
        <v>34242</v>
      </c>
      <c r="B353" s="2"/>
      <c r="C353" s="21">
        <v>555.33000000000004</v>
      </c>
      <c r="D353" s="24">
        <f t="shared" si="24"/>
        <v>-7.6659161573924273E-3</v>
      </c>
      <c r="E353" s="20"/>
      <c r="F353" s="20">
        <v>896.32</v>
      </c>
      <c r="G353" s="24">
        <f t="shared" si="25"/>
        <v>2.8220070664892516E-2</v>
      </c>
      <c r="H353" s="20"/>
      <c r="I353" s="20">
        <v>591.42999999999995</v>
      </c>
      <c r="J353" s="24">
        <f t="shared" si="26"/>
        <v>2.7466472253776519E-3</v>
      </c>
      <c r="K353" s="20"/>
      <c r="L353" s="20">
        <v>697.07</v>
      </c>
      <c r="M353" s="14">
        <f t="shared" si="27"/>
        <v>3.917332757255032E-3</v>
      </c>
      <c r="N353" s="35"/>
    </row>
    <row r="354" spans="1:14" x14ac:dyDescent="0.2">
      <c r="A354" s="2">
        <v>34212</v>
      </c>
      <c r="B354" s="2"/>
      <c r="C354" s="21">
        <v>559.62</v>
      </c>
      <c r="D354" s="24">
        <f t="shared" si="24"/>
        <v>3.7947918985087981E-2</v>
      </c>
      <c r="E354" s="20"/>
      <c r="F354" s="20">
        <v>871.72</v>
      </c>
      <c r="G354" s="24">
        <f t="shared" si="25"/>
        <v>4.3201455206912209E-2</v>
      </c>
      <c r="H354" s="20"/>
      <c r="I354" s="20">
        <v>589.80999999999995</v>
      </c>
      <c r="J354" s="24">
        <f t="shared" si="26"/>
        <v>1.7527818511170468E-2</v>
      </c>
      <c r="K354" s="20"/>
      <c r="L354" s="20">
        <v>694.35</v>
      </c>
      <c r="M354" s="14">
        <f t="shared" si="27"/>
        <v>2.2275551367745283E-2</v>
      </c>
      <c r="N354" s="35"/>
    </row>
    <row r="355" spans="1:14" x14ac:dyDescent="0.2">
      <c r="A355" s="2">
        <v>34180</v>
      </c>
      <c r="B355" s="2"/>
      <c r="C355" s="21">
        <v>539.16</v>
      </c>
      <c r="D355" s="24">
        <f t="shared" si="24"/>
        <v>-4.0270440019212206E-3</v>
      </c>
      <c r="E355" s="20"/>
      <c r="F355" s="20">
        <v>835.62</v>
      </c>
      <c r="G355" s="24">
        <f t="shared" si="25"/>
        <v>1.3806658254877258E-2</v>
      </c>
      <c r="H355" s="20"/>
      <c r="I355" s="20">
        <v>579.65</v>
      </c>
      <c r="J355" s="24">
        <f t="shared" si="26"/>
        <v>5.6558927115322177E-3</v>
      </c>
      <c r="K355" s="20"/>
      <c r="L355" s="20">
        <v>679.22</v>
      </c>
      <c r="M355" s="14">
        <f t="shared" si="27"/>
        <v>5.8793039614957188E-3</v>
      </c>
      <c r="N355" s="35"/>
    </row>
    <row r="356" spans="1:14" x14ac:dyDescent="0.2">
      <c r="A356" s="2">
        <v>34150</v>
      </c>
      <c r="B356" s="2"/>
      <c r="C356" s="21">
        <v>541.34</v>
      </c>
      <c r="D356" s="24">
        <f t="shared" si="24"/>
        <v>2.927226915666381E-3</v>
      </c>
      <c r="E356" s="20"/>
      <c r="F356" s="20">
        <v>824.24</v>
      </c>
      <c r="G356" s="24">
        <f t="shared" si="25"/>
        <v>6.2383260288354503E-3</v>
      </c>
      <c r="H356" s="20"/>
      <c r="I356" s="20">
        <v>576.39</v>
      </c>
      <c r="J356" s="24">
        <f t="shared" si="26"/>
        <v>1.8123045943511107E-2</v>
      </c>
      <c r="K356" s="20"/>
      <c r="L356" s="20">
        <v>675.25</v>
      </c>
      <c r="M356" s="14">
        <f t="shared" si="27"/>
        <v>2.2378003542931513E-2</v>
      </c>
      <c r="N356" s="35"/>
    </row>
    <row r="357" spans="1:14" x14ac:dyDescent="0.2">
      <c r="A357" s="2">
        <v>34120</v>
      </c>
      <c r="B357" s="2"/>
      <c r="C357" s="21">
        <v>539.76</v>
      </c>
      <c r="D357" s="24">
        <f t="shared" si="24"/>
        <v>2.6745291991630005E-2</v>
      </c>
      <c r="E357" s="20"/>
      <c r="F357" s="20">
        <v>819.13</v>
      </c>
      <c r="G357" s="24">
        <f t="shared" si="25"/>
        <v>4.4249254226052415E-2</v>
      </c>
      <c r="H357" s="20"/>
      <c r="I357" s="20">
        <v>566.13</v>
      </c>
      <c r="J357" s="24">
        <f t="shared" si="26"/>
        <v>1.2734122141455639E-3</v>
      </c>
      <c r="K357" s="20"/>
      <c r="L357" s="20">
        <v>660.47</v>
      </c>
      <c r="M357" s="14">
        <f t="shared" si="27"/>
        <v>-1.2248971691264376E-3</v>
      </c>
      <c r="N357" s="35"/>
    </row>
    <row r="358" spans="1:14" x14ac:dyDescent="0.2">
      <c r="A358" s="2">
        <v>34089</v>
      </c>
      <c r="B358" s="2"/>
      <c r="C358" s="21">
        <v>525.70000000000005</v>
      </c>
      <c r="D358" s="24">
        <f t="shared" si="24"/>
        <v>-2.416839916839908E-2</v>
      </c>
      <c r="E358" s="20"/>
      <c r="F358" s="20">
        <v>784.42</v>
      </c>
      <c r="G358" s="24">
        <f t="shared" si="25"/>
        <v>-2.7449910731997651E-2</v>
      </c>
      <c r="H358" s="20"/>
      <c r="I358" s="20">
        <v>565.41</v>
      </c>
      <c r="J358" s="24">
        <f t="shared" si="26"/>
        <v>6.9634906500444238E-3</v>
      </c>
      <c r="K358" s="20"/>
      <c r="L358" s="20">
        <v>661.28</v>
      </c>
      <c r="M358" s="14">
        <f t="shared" si="27"/>
        <v>7.8490543032629922E-3</v>
      </c>
      <c r="N358" s="35"/>
    </row>
    <row r="359" spans="1:14" x14ac:dyDescent="0.2">
      <c r="A359" s="2">
        <v>34059</v>
      </c>
      <c r="B359" s="2"/>
      <c r="C359" s="21">
        <v>538.72</v>
      </c>
      <c r="D359" s="24">
        <f t="shared" si="24"/>
        <v>2.109592676131089E-2</v>
      </c>
      <c r="E359" s="20"/>
      <c r="F359" s="20">
        <v>806.56</v>
      </c>
      <c r="G359" s="24">
        <f t="shared" si="25"/>
        <v>3.2449661422664811E-2</v>
      </c>
      <c r="H359" s="20"/>
      <c r="I359" s="20">
        <v>561.5</v>
      </c>
      <c r="J359" s="24">
        <f t="shared" si="26"/>
        <v>4.1668902122788953E-3</v>
      </c>
      <c r="K359" s="20"/>
      <c r="L359" s="20">
        <v>656.13</v>
      </c>
      <c r="M359" s="14">
        <f t="shared" si="27"/>
        <v>3.3182457642668695E-3</v>
      </c>
      <c r="N359" s="35"/>
    </row>
    <row r="360" spans="1:14" x14ac:dyDescent="0.2">
      <c r="A360" s="2">
        <v>34026</v>
      </c>
      <c r="B360" s="2"/>
      <c r="C360" s="21">
        <v>527.59</v>
      </c>
      <c r="D360" s="24">
        <f t="shared" si="24"/>
        <v>1.364099214201997E-2</v>
      </c>
      <c r="E360" s="20"/>
      <c r="F360" s="20">
        <v>781.21</v>
      </c>
      <c r="G360" s="24">
        <f t="shared" si="25"/>
        <v>-2.3096738695478125E-2</v>
      </c>
      <c r="H360" s="20"/>
      <c r="I360" s="20">
        <v>559.16999999999996</v>
      </c>
      <c r="J360" s="24">
        <f t="shared" si="26"/>
        <v>1.7505231553088807E-2</v>
      </c>
      <c r="K360" s="20"/>
      <c r="L360" s="20">
        <v>653.96</v>
      </c>
      <c r="M360" s="14">
        <f t="shared" si="27"/>
        <v>2.0059273124317656E-2</v>
      </c>
      <c r="N360" s="35"/>
    </row>
    <row r="361" spans="1:14" x14ac:dyDescent="0.2">
      <c r="A361" s="2">
        <v>33998</v>
      </c>
      <c r="B361" s="2"/>
      <c r="C361" s="21">
        <v>520.49</v>
      </c>
      <c r="D361" s="24">
        <f t="shared" si="24"/>
        <v>8.3498004572049034E-3</v>
      </c>
      <c r="E361" s="20"/>
      <c r="F361" s="20">
        <v>799.68</v>
      </c>
      <c r="G361" s="24">
        <f t="shared" si="25"/>
        <v>3.3846153846153859E-2</v>
      </c>
      <c r="H361" s="20"/>
      <c r="I361" s="20">
        <v>549.54999999999995</v>
      </c>
      <c r="J361" s="24">
        <f t="shared" si="26"/>
        <v>1.9176202221768746E-2</v>
      </c>
      <c r="K361" s="20"/>
      <c r="L361" s="20">
        <v>641.1</v>
      </c>
      <c r="M361" s="14">
        <f t="shared" si="27"/>
        <v>2.1461689211796697E-2</v>
      </c>
      <c r="N361" s="35"/>
    </row>
    <row r="362" spans="1:14" x14ac:dyDescent="0.2">
      <c r="A362" s="2">
        <v>33969</v>
      </c>
      <c r="B362" s="2"/>
      <c r="C362" s="21">
        <v>516.17999999999995</v>
      </c>
      <c r="D362" s="24">
        <f t="shared" si="24"/>
        <v>1.2276435519297024E-2</v>
      </c>
      <c r="E362" s="20"/>
      <c r="F362" s="20">
        <v>773.5</v>
      </c>
      <c r="G362" s="24">
        <f t="shared" si="25"/>
        <v>3.4837984641318487E-2</v>
      </c>
      <c r="H362" s="20"/>
      <c r="I362" s="20">
        <v>539.21</v>
      </c>
      <c r="J362" s="24">
        <f t="shared" si="26"/>
        <v>1.5901426229817162E-2</v>
      </c>
      <c r="K362" s="20"/>
      <c r="L362" s="20">
        <v>627.63</v>
      </c>
      <c r="M362" s="14">
        <f t="shared" si="27"/>
        <v>1.7014243352291958E-2</v>
      </c>
      <c r="N362" s="35"/>
    </row>
    <row r="363" spans="1:14" x14ac:dyDescent="0.2">
      <c r="A363" s="2">
        <v>33938</v>
      </c>
      <c r="B363" s="2"/>
      <c r="C363" s="21">
        <v>509.92</v>
      </c>
      <c r="D363" s="24">
        <f t="shared" si="24"/>
        <v>3.4047817005657732E-2</v>
      </c>
      <c r="E363" s="20"/>
      <c r="F363" s="20">
        <v>747.46</v>
      </c>
      <c r="G363" s="24">
        <f t="shared" si="25"/>
        <v>7.6519810464764637E-2</v>
      </c>
      <c r="H363" s="20"/>
      <c r="I363" s="20">
        <v>530.77</v>
      </c>
      <c r="J363" s="24">
        <f t="shared" si="26"/>
        <v>2.2613775558277815E-4</v>
      </c>
      <c r="K363" s="20"/>
      <c r="L363" s="20">
        <v>617.13</v>
      </c>
      <c r="M363" s="14">
        <f t="shared" si="27"/>
        <v>-2.0375491194877249E-3</v>
      </c>
      <c r="N363" s="35"/>
    </row>
    <row r="364" spans="1:14" x14ac:dyDescent="0.2">
      <c r="A364" s="2">
        <v>33907</v>
      </c>
      <c r="B364" s="2"/>
      <c r="C364" s="21">
        <v>493.13</v>
      </c>
      <c r="D364" s="24">
        <f t="shared" si="24"/>
        <v>3.4592922694991479E-3</v>
      </c>
      <c r="E364" s="20"/>
      <c r="F364" s="20">
        <v>694.33</v>
      </c>
      <c r="G364" s="24">
        <f t="shared" si="25"/>
        <v>3.1785894730585129E-2</v>
      </c>
      <c r="H364" s="20"/>
      <c r="I364" s="20">
        <v>530.65</v>
      </c>
      <c r="J364" s="24">
        <f t="shared" si="26"/>
        <v>-1.3276557764183017E-2</v>
      </c>
      <c r="K364" s="20"/>
      <c r="L364" s="20">
        <v>618.39</v>
      </c>
      <c r="M364" s="14">
        <f t="shared" si="27"/>
        <v>-1.469065183792484E-2</v>
      </c>
      <c r="N364" s="35"/>
    </row>
    <row r="365" spans="1:14" x14ac:dyDescent="0.2">
      <c r="A365" s="2">
        <v>33877</v>
      </c>
      <c r="B365" s="2"/>
      <c r="C365" s="21">
        <v>491.43</v>
      </c>
      <c r="D365" s="24">
        <f t="shared" si="24"/>
        <v>1.1755744050069961E-2</v>
      </c>
      <c r="E365" s="20"/>
      <c r="F365" s="20">
        <v>672.94</v>
      </c>
      <c r="G365" s="24">
        <f t="shared" si="25"/>
        <v>2.3062772701704315E-2</v>
      </c>
      <c r="H365" s="20"/>
      <c r="I365" s="20">
        <v>537.79</v>
      </c>
      <c r="J365" s="24">
        <f t="shared" si="26"/>
        <v>1.1872506961691842E-2</v>
      </c>
      <c r="K365" s="20"/>
      <c r="L365" s="20">
        <v>627.61</v>
      </c>
      <c r="M365" s="14">
        <f t="shared" si="27"/>
        <v>1.4581548359979823E-2</v>
      </c>
      <c r="N365" s="35"/>
    </row>
    <row r="366" spans="1:14" x14ac:dyDescent="0.2">
      <c r="A366" s="2">
        <v>33847</v>
      </c>
      <c r="B366" s="2"/>
      <c r="C366" s="21">
        <v>485.72</v>
      </c>
      <c r="D366" s="24">
        <f t="shared" si="24"/>
        <v>-2.0469074555831135E-2</v>
      </c>
      <c r="E366" s="20"/>
      <c r="F366" s="20">
        <v>657.77</v>
      </c>
      <c r="G366" s="24">
        <f t="shared" si="25"/>
        <v>-2.8218121648174721E-2</v>
      </c>
      <c r="H366" s="20"/>
      <c r="I366" s="20">
        <v>531.48</v>
      </c>
      <c r="J366" s="24">
        <f t="shared" si="26"/>
        <v>1.0130191010168321E-2</v>
      </c>
      <c r="K366" s="20"/>
      <c r="L366" s="20">
        <v>618.59</v>
      </c>
      <c r="M366" s="14">
        <f t="shared" si="27"/>
        <v>9.4649064116583137E-3</v>
      </c>
      <c r="N366" s="35"/>
    </row>
    <row r="367" spans="1:14" x14ac:dyDescent="0.2">
      <c r="A367" s="2">
        <v>33816</v>
      </c>
      <c r="B367" s="2"/>
      <c r="C367" s="21">
        <v>495.87</v>
      </c>
      <c r="D367" s="24">
        <f t="shared" si="24"/>
        <v>4.0847169454881316E-2</v>
      </c>
      <c r="E367" s="20"/>
      <c r="F367" s="20">
        <v>676.87</v>
      </c>
      <c r="G367" s="24">
        <f t="shared" si="25"/>
        <v>3.479537080919104E-2</v>
      </c>
      <c r="H367" s="20"/>
      <c r="I367" s="20">
        <v>526.15</v>
      </c>
      <c r="J367" s="24">
        <f t="shared" si="26"/>
        <v>2.0402226402653101E-2</v>
      </c>
      <c r="K367" s="20"/>
      <c r="L367" s="20">
        <v>612.79</v>
      </c>
      <c r="M367" s="14">
        <f t="shared" si="27"/>
        <v>2.5504141912810585E-2</v>
      </c>
      <c r="N367" s="35"/>
    </row>
    <row r="368" spans="1:14" x14ac:dyDescent="0.2">
      <c r="A368" s="2">
        <v>33785</v>
      </c>
      <c r="B368" s="2"/>
      <c r="C368" s="21">
        <v>476.41</v>
      </c>
      <c r="D368" s="24">
        <f t="shared" si="24"/>
        <v>-1.4867659222497887E-2</v>
      </c>
      <c r="E368" s="20"/>
      <c r="F368" s="20">
        <v>654.11</v>
      </c>
      <c r="G368" s="24">
        <f t="shared" si="25"/>
        <v>-4.7292376707739892E-2</v>
      </c>
      <c r="H368" s="20"/>
      <c r="I368" s="20">
        <v>515.63</v>
      </c>
      <c r="J368" s="24">
        <f t="shared" si="26"/>
        <v>1.3762459941411231E-2</v>
      </c>
      <c r="K368" s="20"/>
      <c r="L368" s="20">
        <v>597.54999999999995</v>
      </c>
      <c r="M368" s="14">
        <f t="shared" si="27"/>
        <v>1.4481681436963045E-2</v>
      </c>
      <c r="N368" s="35"/>
    </row>
    <row r="369" spans="1:14" x14ac:dyDescent="0.2">
      <c r="A369" s="2">
        <v>33753</v>
      </c>
      <c r="B369" s="2"/>
      <c r="C369" s="21">
        <v>483.6</v>
      </c>
      <c r="D369" s="24">
        <f t="shared" si="24"/>
        <v>4.8831168831169336E-3</v>
      </c>
      <c r="E369" s="20"/>
      <c r="F369" s="20">
        <v>686.58</v>
      </c>
      <c r="G369" s="24">
        <f t="shared" si="25"/>
        <v>1.3297519075519793E-2</v>
      </c>
      <c r="H369" s="20"/>
      <c r="I369" s="20">
        <v>508.63</v>
      </c>
      <c r="J369" s="24">
        <f t="shared" si="26"/>
        <v>1.8869814306604393E-2</v>
      </c>
      <c r="K369" s="20"/>
      <c r="L369" s="20">
        <v>589.02</v>
      </c>
      <c r="M369" s="14">
        <f t="shared" si="27"/>
        <v>1.8378602672936895E-2</v>
      </c>
      <c r="N369" s="35"/>
    </row>
    <row r="370" spans="1:14" x14ac:dyDescent="0.2">
      <c r="A370" s="2">
        <v>33724</v>
      </c>
      <c r="B370" s="2"/>
      <c r="C370" s="21">
        <v>481.25</v>
      </c>
      <c r="D370" s="24">
        <f t="shared" si="24"/>
        <v>2.9367727583846648E-2</v>
      </c>
      <c r="E370" s="20"/>
      <c r="F370" s="20">
        <v>677.57</v>
      </c>
      <c r="G370" s="24">
        <f t="shared" si="25"/>
        <v>-3.5034250964865898E-2</v>
      </c>
      <c r="H370" s="20"/>
      <c r="I370" s="20">
        <v>499.21</v>
      </c>
      <c r="J370" s="24">
        <f t="shared" si="26"/>
        <v>7.2231301575771401E-3</v>
      </c>
      <c r="K370" s="20"/>
      <c r="L370" s="20">
        <v>578.39</v>
      </c>
      <c r="M370" s="14">
        <f t="shared" si="27"/>
        <v>6.2631569790707609E-3</v>
      </c>
      <c r="N370" s="35"/>
    </row>
    <row r="371" spans="1:14" x14ac:dyDescent="0.2">
      <c r="A371" s="2">
        <v>33694</v>
      </c>
      <c r="B371" s="2"/>
      <c r="C371" s="21">
        <v>467.52</v>
      </c>
      <c r="D371" s="24">
        <f t="shared" si="24"/>
        <v>-1.9442521864972084E-2</v>
      </c>
      <c r="E371" s="20"/>
      <c r="F371" s="20">
        <v>702.17</v>
      </c>
      <c r="G371" s="24">
        <f t="shared" si="25"/>
        <v>-3.3848397704913546E-2</v>
      </c>
      <c r="H371" s="20"/>
      <c r="I371" s="20">
        <v>495.63</v>
      </c>
      <c r="J371" s="24">
        <f t="shared" si="26"/>
        <v>-5.6375892785490711E-3</v>
      </c>
      <c r="K371" s="20"/>
      <c r="L371" s="20">
        <v>574.79</v>
      </c>
      <c r="M371" s="14">
        <f t="shared" si="27"/>
        <v>-6.0007609033998488E-3</v>
      </c>
      <c r="N371" s="35"/>
    </row>
    <row r="372" spans="1:14" x14ac:dyDescent="0.2">
      <c r="A372" s="2">
        <v>33662</v>
      </c>
      <c r="B372" s="2"/>
      <c r="C372" s="21">
        <v>476.79</v>
      </c>
      <c r="D372" s="24">
        <f t="shared" si="24"/>
        <v>1.2938177182919119E-2</v>
      </c>
      <c r="E372" s="20"/>
      <c r="F372" s="20">
        <v>726.77</v>
      </c>
      <c r="G372" s="24">
        <f t="shared" si="25"/>
        <v>2.917144596910104E-2</v>
      </c>
      <c r="H372" s="20"/>
      <c r="I372" s="20">
        <v>498.44</v>
      </c>
      <c r="J372" s="24">
        <f t="shared" si="26"/>
        <v>6.5021606558699485E-3</v>
      </c>
      <c r="K372" s="20"/>
      <c r="L372" s="20">
        <v>578.26</v>
      </c>
      <c r="M372" s="14">
        <f t="shared" si="27"/>
        <v>3.8713261462077764E-3</v>
      </c>
      <c r="N372" s="35"/>
    </row>
    <row r="373" spans="1:14" x14ac:dyDescent="0.2">
      <c r="A373" s="2">
        <v>33634</v>
      </c>
      <c r="B373" s="2"/>
      <c r="C373" s="21">
        <v>470.7</v>
      </c>
      <c r="D373" s="24">
        <f t="shared" si="24"/>
        <v>-1.8618518441298471E-2</v>
      </c>
      <c r="E373" s="20"/>
      <c r="F373" s="20">
        <v>706.17</v>
      </c>
      <c r="G373" s="24">
        <f t="shared" si="25"/>
        <v>8.1026881391219163E-2</v>
      </c>
      <c r="H373" s="20"/>
      <c r="I373" s="20">
        <v>495.22</v>
      </c>
      <c r="J373" s="24">
        <f t="shared" si="26"/>
        <v>-1.3604222686983358E-2</v>
      </c>
      <c r="K373" s="20"/>
      <c r="L373" s="20">
        <v>576.03</v>
      </c>
      <c r="M373" s="14">
        <f t="shared" si="27"/>
        <v>-1.6006149641270895E-2</v>
      </c>
      <c r="N373" s="35"/>
    </row>
    <row r="374" spans="1:14" x14ac:dyDescent="0.2">
      <c r="A374" s="2">
        <v>33603</v>
      </c>
      <c r="B374" s="2"/>
      <c r="C374" s="21">
        <v>479.63</v>
      </c>
      <c r="D374" s="24">
        <f t="shared" si="24"/>
        <v>0.11435607908738166</v>
      </c>
      <c r="E374" s="20"/>
      <c r="F374" s="20">
        <v>653.24</v>
      </c>
      <c r="G374" s="24">
        <f t="shared" si="25"/>
        <v>8.0074734214050869E-2</v>
      </c>
      <c r="H374" s="20"/>
      <c r="I374" s="20">
        <v>502.05</v>
      </c>
      <c r="J374" s="24">
        <f t="shared" si="26"/>
        <v>2.9698299731320654E-2</v>
      </c>
      <c r="K374" s="20"/>
      <c r="L374" s="20">
        <v>585.4</v>
      </c>
      <c r="M374" s="14">
        <f t="shared" si="27"/>
        <v>3.4549792347795316E-2</v>
      </c>
      <c r="N374" s="35"/>
    </row>
    <row r="375" spans="1:14" x14ac:dyDescent="0.2">
      <c r="A375" s="2">
        <v>33571</v>
      </c>
      <c r="B375" s="2"/>
      <c r="C375" s="21">
        <v>430.41</v>
      </c>
      <c r="D375" s="24">
        <f t="shared" si="24"/>
        <v>-4.0291651801641071E-2</v>
      </c>
      <c r="E375" s="20"/>
      <c r="F375" s="20">
        <v>604.80999999999995</v>
      </c>
      <c r="G375" s="24">
        <f t="shared" si="25"/>
        <v>-4.625161636231756E-2</v>
      </c>
      <c r="H375" s="20"/>
      <c r="I375" s="20">
        <v>487.57</v>
      </c>
      <c r="J375" s="24">
        <f t="shared" si="26"/>
        <v>9.169184915345463E-3</v>
      </c>
      <c r="K375" s="20"/>
      <c r="L375" s="20">
        <v>565.85</v>
      </c>
      <c r="M375" s="14">
        <f t="shared" si="27"/>
        <v>1.0013565614736653E-2</v>
      </c>
      <c r="N375" s="35"/>
    </row>
    <row r="376" spans="1:14" x14ac:dyDescent="0.2">
      <c r="A376" s="2">
        <v>33542</v>
      </c>
      <c r="B376" s="2"/>
      <c r="C376" s="21">
        <v>448.48</v>
      </c>
      <c r="D376" s="24">
        <f t="shared" si="24"/>
        <v>1.3445416129979959E-2</v>
      </c>
      <c r="E376" s="20"/>
      <c r="F376" s="20">
        <v>634.14</v>
      </c>
      <c r="G376" s="24">
        <f t="shared" si="25"/>
        <v>2.6448688896082873E-2</v>
      </c>
      <c r="H376" s="20"/>
      <c r="I376" s="20">
        <v>483.14</v>
      </c>
      <c r="J376" s="24">
        <f t="shared" si="26"/>
        <v>1.1133899794901758E-2</v>
      </c>
      <c r="K376" s="20"/>
      <c r="L376" s="20">
        <v>560.24</v>
      </c>
      <c r="M376" s="14">
        <f t="shared" si="27"/>
        <v>8.8779240424268213E-3</v>
      </c>
      <c r="N376" s="35"/>
    </row>
    <row r="377" spans="1:14" x14ac:dyDescent="0.2">
      <c r="A377" s="2">
        <v>33511</v>
      </c>
      <c r="B377" s="2"/>
      <c r="C377" s="21">
        <v>442.53</v>
      </c>
      <c r="D377" s="24">
        <f t="shared" si="24"/>
        <v>-1.6731102519664143E-2</v>
      </c>
      <c r="E377" s="20"/>
      <c r="F377" s="20">
        <v>617.79999999999995</v>
      </c>
      <c r="G377" s="24">
        <f t="shared" si="25"/>
        <v>7.8303425774877145E-3</v>
      </c>
      <c r="H377" s="20"/>
      <c r="I377" s="20">
        <v>477.82</v>
      </c>
      <c r="J377" s="24">
        <f t="shared" si="26"/>
        <v>2.0263489419853453E-2</v>
      </c>
      <c r="K377" s="20"/>
      <c r="L377" s="20">
        <v>555.30999999999995</v>
      </c>
      <c r="M377" s="14">
        <f t="shared" si="27"/>
        <v>2.1071986761055372E-2</v>
      </c>
      <c r="N377" s="35"/>
    </row>
    <row r="378" spans="1:14" x14ac:dyDescent="0.2">
      <c r="A378" s="2">
        <v>33480</v>
      </c>
      <c r="B378" s="2"/>
      <c r="C378" s="21">
        <v>450.06</v>
      </c>
      <c r="D378" s="24">
        <f t="shared" si="24"/>
        <v>2.3677925622654472E-2</v>
      </c>
      <c r="E378" s="20"/>
      <c r="F378" s="20">
        <v>613</v>
      </c>
      <c r="G378" s="24">
        <f t="shared" si="25"/>
        <v>3.7014480985248399E-2</v>
      </c>
      <c r="H378" s="20"/>
      <c r="I378" s="20">
        <v>468.33</v>
      </c>
      <c r="J378" s="24">
        <f t="shared" si="26"/>
        <v>2.1640016579044907E-2</v>
      </c>
      <c r="K378" s="20"/>
      <c r="L378" s="20">
        <v>543.85</v>
      </c>
      <c r="M378" s="14">
        <f t="shared" si="27"/>
        <v>2.3159122549573086E-2</v>
      </c>
      <c r="N378" s="35"/>
    </row>
    <row r="379" spans="1:14" x14ac:dyDescent="0.2">
      <c r="A379" s="2">
        <v>33450</v>
      </c>
      <c r="B379" s="2"/>
      <c r="C379" s="21">
        <v>439.65</v>
      </c>
      <c r="D379" s="24">
        <f t="shared" si="24"/>
        <v>4.6611279072535483E-2</v>
      </c>
      <c r="E379" s="20"/>
      <c r="F379" s="20">
        <v>591.12</v>
      </c>
      <c r="G379" s="24">
        <f t="shared" si="25"/>
        <v>3.5091405757512018E-2</v>
      </c>
      <c r="H379" s="20"/>
      <c r="I379" s="20">
        <v>458.41</v>
      </c>
      <c r="J379" s="24">
        <f t="shared" si="26"/>
        <v>1.3867386207811805E-2</v>
      </c>
      <c r="K379" s="20"/>
      <c r="L379" s="20">
        <v>531.54</v>
      </c>
      <c r="M379" s="14">
        <f t="shared" si="27"/>
        <v>1.1705590133044064E-2</v>
      </c>
      <c r="N379" s="35"/>
    </row>
    <row r="380" spans="1:14" x14ac:dyDescent="0.2">
      <c r="A380" s="2">
        <v>33417</v>
      </c>
      <c r="B380" s="2"/>
      <c r="C380" s="21">
        <v>420.07</v>
      </c>
      <c r="D380" s="24">
        <f t="shared" si="24"/>
        <v>-4.5815918589860116E-2</v>
      </c>
      <c r="E380" s="20"/>
      <c r="F380" s="20">
        <v>571.08000000000004</v>
      </c>
      <c r="G380" s="24">
        <f t="shared" si="25"/>
        <v>-5.8276442069852497E-2</v>
      </c>
      <c r="H380" s="20"/>
      <c r="I380" s="20">
        <v>452.14</v>
      </c>
      <c r="J380" s="24">
        <f t="shared" si="26"/>
        <v>-5.0843336207095913E-4</v>
      </c>
      <c r="K380" s="20"/>
      <c r="L380" s="20">
        <v>525.39</v>
      </c>
      <c r="M380" s="14">
        <f t="shared" si="27"/>
        <v>-1.5013873579382553E-3</v>
      </c>
      <c r="N380" s="35"/>
    </row>
    <row r="381" spans="1:14" x14ac:dyDescent="0.2">
      <c r="A381" s="2">
        <v>33389</v>
      </c>
      <c r="B381" s="2"/>
      <c r="C381" s="21">
        <v>440.24</v>
      </c>
      <c r="D381" s="24">
        <f t="shared" si="24"/>
        <v>4.3148591332369923E-2</v>
      </c>
      <c r="E381" s="20"/>
      <c r="F381" s="20">
        <v>606.41999999999996</v>
      </c>
      <c r="G381" s="24">
        <f t="shared" si="25"/>
        <v>4.7665117564742454E-2</v>
      </c>
      <c r="H381" s="20"/>
      <c r="I381" s="20">
        <v>452.37</v>
      </c>
      <c r="J381" s="24">
        <f t="shared" si="26"/>
        <v>5.8478231867300501E-3</v>
      </c>
      <c r="K381" s="20"/>
      <c r="L381" s="20">
        <v>526.17999999999995</v>
      </c>
      <c r="M381" s="14">
        <f t="shared" si="27"/>
        <v>3.7197413349101538E-3</v>
      </c>
      <c r="N381" s="35"/>
    </row>
    <row r="382" spans="1:14" x14ac:dyDescent="0.2">
      <c r="A382" s="2">
        <v>33358</v>
      </c>
      <c r="B382" s="2"/>
      <c r="C382" s="21">
        <v>422.03</v>
      </c>
      <c r="D382" s="24">
        <f t="shared" si="24"/>
        <v>2.3751276631118756E-3</v>
      </c>
      <c r="E382" s="20"/>
      <c r="F382" s="20">
        <v>578.83000000000004</v>
      </c>
      <c r="G382" s="24">
        <f t="shared" si="25"/>
        <v>-2.5159833876163828E-3</v>
      </c>
      <c r="H382" s="20"/>
      <c r="I382" s="20">
        <v>449.74</v>
      </c>
      <c r="J382" s="24">
        <f t="shared" si="26"/>
        <v>1.0833408253169141E-2</v>
      </c>
      <c r="K382" s="20"/>
      <c r="L382" s="20">
        <v>524.23</v>
      </c>
      <c r="M382" s="14">
        <f t="shared" si="27"/>
        <v>1.0992613734981616E-2</v>
      </c>
      <c r="N382" s="35"/>
    </row>
    <row r="383" spans="1:14" x14ac:dyDescent="0.2">
      <c r="A383" s="2">
        <v>33326</v>
      </c>
      <c r="B383" s="2"/>
      <c r="C383" s="21">
        <v>421.03</v>
      </c>
      <c r="D383" s="24">
        <f t="shared" si="24"/>
        <v>2.4204534397197497E-2</v>
      </c>
      <c r="E383" s="20"/>
      <c r="F383" s="20">
        <v>580.29</v>
      </c>
      <c r="G383" s="24">
        <f t="shared" si="25"/>
        <v>7.0389021083503867E-2</v>
      </c>
      <c r="H383" s="20"/>
      <c r="I383" s="20">
        <v>444.92</v>
      </c>
      <c r="J383" s="24">
        <f t="shared" si="26"/>
        <v>6.8796958450259016E-3</v>
      </c>
      <c r="K383" s="20"/>
      <c r="L383" s="20">
        <v>518.53</v>
      </c>
      <c r="M383" s="14">
        <f t="shared" si="27"/>
        <v>5.0394433353362356E-3</v>
      </c>
      <c r="N383" s="35"/>
    </row>
    <row r="384" spans="1:14" x14ac:dyDescent="0.2">
      <c r="A384" s="2">
        <v>33297</v>
      </c>
      <c r="B384" s="2"/>
      <c r="C384" s="21">
        <v>411.08</v>
      </c>
      <c r="D384" s="24">
        <f t="shared" si="24"/>
        <v>7.1525388384944266E-2</v>
      </c>
      <c r="E384" s="20"/>
      <c r="F384" s="20">
        <v>542.13</v>
      </c>
      <c r="G384" s="24">
        <f t="shared" si="25"/>
        <v>0.11151433140607692</v>
      </c>
      <c r="H384" s="20"/>
      <c r="I384" s="20">
        <v>441.88</v>
      </c>
      <c r="J384" s="24">
        <f t="shared" si="26"/>
        <v>8.5360843565984723E-3</v>
      </c>
      <c r="K384" s="20"/>
      <c r="L384" s="20">
        <v>515.92999999999995</v>
      </c>
      <c r="M384" s="14">
        <f t="shared" si="27"/>
        <v>5.3391531401623116E-3</v>
      </c>
      <c r="N384" s="35"/>
    </row>
    <row r="385" spans="1:14" x14ac:dyDescent="0.2">
      <c r="A385" s="2">
        <v>33269</v>
      </c>
      <c r="B385" s="2"/>
      <c r="C385" s="21">
        <v>383.64</v>
      </c>
      <c r="D385" s="24">
        <f t="shared" si="24"/>
        <v>4.3549220683839707E-2</v>
      </c>
      <c r="E385" s="20"/>
      <c r="F385" s="20">
        <v>487.74</v>
      </c>
      <c r="G385" s="24">
        <f t="shared" si="25"/>
        <v>9.0433499519327443E-2</v>
      </c>
      <c r="H385" s="20"/>
      <c r="I385" s="20">
        <v>438.14</v>
      </c>
      <c r="J385" s="24">
        <f t="shared" si="26"/>
        <v>1.236165345779705E-2</v>
      </c>
      <c r="K385" s="20"/>
      <c r="L385" s="20">
        <v>513.19000000000005</v>
      </c>
      <c r="M385" s="14">
        <f t="shared" si="27"/>
        <v>1.0713934022648974E-2</v>
      </c>
      <c r="N385" s="35"/>
    </row>
    <row r="386" spans="1:14" x14ac:dyDescent="0.2">
      <c r="A386" s="2">
        <v>33238</v>
      </c>
      <c r="B386" s="2"/>
      <c r="C386" s="21">
        <v>367.63</v>
      </c>
      <c r="D386" s="24">
        <f t="shared" si="24"/>
        <v>2.7846897978583529E-2</v>
      </c>
      <c r="E386" s="20"/>
      <c r="F386" s="20">
        <v>447.29</v>
      </c>
      <c r="G386" s="24">
        <f t="shared" si="25"/>
        <v>3.9677374366603013E-2</v>
      </c>
      <c r="H386" s="20"/>
      <c r="I386" s="20">
        <v>432.79</v>
      </c>
      <c r="J386" s="24">
        <f t="shared" si="26"/>
        <v>1.5581368062888679E-2</v>
      </c>
      <c r="K386" s="20"/>
      <c r="L386" s="20">
        <v>507.75</v>
      </c>
      <c r="M386" s="14">
        <f t="shared" si="27"/>
        <v>1.5560933656019404E-2</v>
      </c>
      <c r="N386" s="35"/>
    </row>
    <row r="387" spans="1:14" x14ac:dyDescent="0.2">
      <c r="A387" s="2">
        <v>33207</v>
      </c>
      <c r="B387" s="2"/>
      <c r="C387" s="21">
        <v>357.67</v>
      </c>
      <c r="D387" s="24">
        <f t="shared" si="24"/>
        <v>6.4652478047328543E-2</v>
      </c>
      <c r="E387" s="20"/>
      <c r="F387" s="20">
        <v>430.22</v>
      </c>
      <c r="G387" s="24">
        <f t="shared" si="25"/>
        <v>7.6249562215439992E-2</v>
      </c>
      <c r="H387" s="20"/>
      <c r="I387" s="20">
        <v>426.15</v>
      </c>
      <c r="J387" s="24">
        <f t="shared" si="26"/>
        <v>2.1525996596111874E-2</v>
      </c>
      <c r="K387" s="20"/>
      <c r="L387" s="20">
        <v>499.97</v>
      </c>
      <c r="M387" s="14">
        <f t="shared" si="27"/>
        <v>2.2140900355726467E-2</v>
      </c>
      <c r="N387" s="35"/>
    </row>
    <row r="388" spans="1:14" x14ac:dyDescent="0.2">
      <c r="A388" s="2">
        <v>33177</v>
      </c>
      <c r="B388" s="2"/>
      <c r="C388" s="21">
        <v>335.95</v>
      </c>
      <c r="D388" s="24">
        <f t="shared" si="24"/>
        <v>-4.268057737336628E-3</v>
      </c>
      <c r="E388" s="20"/>
      <c r="F388" s="20">
        <v>399.74</v>
      </c>
      <c r="G388" s="24">
        <f t="shared" si="25"/>
        <v>-6.1048082117774238E-2</v>
      </c>
      <c r="H388" s="20"/>
      <c r="I388" s="20">
        <v>417.17</v>
      </c>
      <c r="J388" s="24">
        <f t="shared" si="26"/>
        <v>1.2696023692770897E-2</v>
      </c>
      <c r="K388" s="20"/>
      <c r="L388" s="20">
        <v>489.14</v>
      </c>
      <c r="M388" s="14">
        <f t="shared" si="27"/>
        <v>1.6479291785291172E-2</v>
      </c>
      <c r="N388" s="35"/>
    </row>
    <row r="389" spans="1:14" x14ac:dyDescent="0.2">
      <c r="A389" s="2">
        <v>33144</v>
      </c>
      <c r="B389" s="2"/>
      <c r="C389" s="21">
        <v>337.39</v>
      </c>
      <c r="D389" s="24">
        <f t="shared" si="24"/>
        <v>-4.8667700549837822E-2</v>
      </c>
      <c r="E389" s="20"/>
      <c r="F389" s="20">
        <v>425.73</v>
      </c>
      <c r="G389" s="24">
        <f t="shared" si="25"/>
        <v>-8.8489701537275645E-2</v>
      </c>
      <c r="H389" s="20"/>
      <c r="I389" s="20">
        <v>411.94</v>
      </c>
      <c r="J389" s="24">
        <f t="shared" si="26"/>
        <v>8.2729586841590042E-3</v>
      </c>
      <c r="K389" s="20"/>
      <c r="L389" s="20">
        <v>481.21</v>
      </c>
      <c r="M389" s="14">
        <f t="shared" si="27"/>
        <v>9.6091307722971919E-3</v>
      </c>
      <c r="N389" s="35"/>
    </row>
    <row r="390" spans="1:14" x14ac:dyDescent="0.2">
      <c r="A390" s="2">
        <v>33116</v>
      </c>
      <c r="B390" s="2"/>
      <c r="C390" s="21">
        <v>354.65</v>
      </c>
      <c r="D390" s="24">
        <f t="shared" si="24"/>
        <v>-9.0384467413885949E-2</v>
      </c>
      <c r="E390" s="20"/>
      <c r="F390" s="20">
        <v>467.06</v>
      </c>
      <c r="G390" s="24">
        <f t="shared" si="25"/>
        <v>-0.13317991165881005</v>
      </c>
      <c r="H390" s="20"/>
      <c r="I390" s="20">
        <v>408.56</v>
      </c>
      <c r="J390" s="24">
        <f t="shared" si="26"/>
        <v>-1.3354584752106935E-2</v>
      </c>
      <c r="K390" s="20"/>
      <c r="L390" s="20">
        <v>476.63</v>
      </c>
      <c r="M390" s="14">
        <f t="shared" si="27"/>
        <v>-1.4392357162058778E-2</v>
      </c>
      <c r="N390" s="35"/>
    </row>
    <row r="391" spans="1:14" x14ac:dyDescent="0.2">
      <c r="A391" s="2">
        <v>33085</v>
      </c>
      <c r="B391" s="2"/>
      <c r="C391" s="21">
        <v>389.89</v>
      </c>
      <c r="D391" s="24">
        <f t="shared" si="24"/>
        <v>-3.195786674847878E-3</v>
      </c>
      <c r="E391" s="20"/>
      <c r="F391" s="20">
        <v>538.82000000000005</v>
      </c>
      <c r="G391" s="24">
        <f t="shared" si="25"/>
        <v>-4.3984315395397489E-2</v>
      </c>
      <c r="H391" s="20"/>
      <c r="I391" s="20">
        <v>414.09</v>
      </c>
      <c r="J391" s="24">
        <f t="shared" si="26"/>
        <v>1.383312114386448E-2</v>
      </c>
      <c r="K391" s="20"/>
      <c r="L391" s="20">
        <v>483.59</v>
      </c>
      <c r="M391" s="14">
        <f t="shared" si="27"/>
        <v>1.2669095782552153E-2</v>
      </c>
      <c r="N391" s="35"/>
    </row>
    <row r="392" spans="1:14" x14ac:dyDescent="0.2">
      <c r="A392" s="2">
        <v>33053</v>
      </c>
      <c r="B392" s="2"/>
      <c r="C392" s="21">
        <v>391.14</v>
      </c>
      <c r="D392" s="24">
        <f t="shared" si="24"/>
        <v>-6.7546978161503457E-3</v>
      </c>
      <c r="E392" s="20"/>
      <c r="F392" s="20">
        <v>563.61</v>
      </c>
      <c r="G392" s="24">
        <f t="shared" si="25"/>
        <v>2.0267747613205156E-3</v>
      </c>
      <c r="H392" s="20"/>
      <c r="I392" s="20">
        <v>408.44</v>
      </c>
      <c r="J392" s="24">
        <f t="shared" si="26"/>
        <v>1.6045175253115662E-2</v>
      </c>
      <c r="K392" s="20"/>
      <c r="L392" s="20">
        <v>477.54</v>
      </c>
      <c r="M392" s="14">
        <f t="shared" si="27"/>
        <v>1.5848029100810512E-2</v>
      </c>
      <c r="N392" s="35"/>
    </row>
    <row r="393" spans="1:14" x14ac:dyDescent="0.2">
      <c r="A393" s="2">
        <v>33024</v>
      </c>
      <c r="B393" s="2"/>
      <c r="C393" s="21">
        <v>393.8</v>
      </c>
      <c r="D393" s="24">
        <f t="shared" si="24"/>
        <v>9.7516791616733212E-2</v>
      </c>
      <c r="E393" s="20"/>
      <c r="F393" s="20">
        <v>562.47</v>
      </c>
      <c r="G393" s="24">
        <f t="shared" si="25"/>
        <v>7.0779950122789481E-2</v>
      </c>
      <c r="H393" s="20"/>
      <c r="I393" s="20">
        <v>401.99</v>
      </c>
      <c r="J393" s="24">
        <f t="shared" si="26"/>
        <v>2.9608380503547416E-2</v>
      </c>
      <c r="K393" s="20"/>
      <c r="L393" s="20">
        <v>470.09</v>
      </c>
      <c r="M393" s="14">
        <f t="shared" si="27"/>
        <v>2.8125888502504193E-2</v>
      </c>
      <c r="N393" s="35"/>
    </row>
    <row r="394" spans="1:14" x14ac:dyDescent="0.2">
      <c r="A394" s="2">
        <v>32993</v>
      </c>
      <c r="B394" s="2"/>
      <c r="C394" s="21">
        <v>358.81</v>
      </c>
      <c r="D394" s="24">
        <f t="shared" si="24"/>
        <v>-2.4972826086956501E-2</v>
      </c>
      <c r="E394" s="20"/>
      <c r="F394" s="20">
        <v>525.29</v>
      </c>
      <c r="G394" s="24">
        <f t="shared" si="25"/>
        <v>-3.265073109646055E-2</v>
      </c>
      <c r="H394" s="20"/>
      <c r="I394" s="20">
        <v>390.43</v>
      </c>
      <c r="J394" s="24">
        <f t="shared" si="26"/>
        <v>-9.1615064460460749E-3</v>
      </c>
      <c r="K394" s="20"/>
      <c r="L394" s="20">
        <v>457.23</v>
      </c>
      <c r="M394" s="14">
        <f t="shared" si="27"/>
        <v>-9.1880295577178028E-3</v>
      </c>
      <c r="N394" s="35"/>
    </row>
    <row r="395" spans="1:14" x14ac:dyDescent="0.2">
      <c r="A395" s="2">
        <v>32962</v>
      </c>
      <c r="B395" s="2"/>
      <c r="C395" s="21">
        <v>368</v>
      </c>
      <c r="D395" s="24">
        <f t="shared" si="24"/>
        <v>2.6499302649930279E-2</v>
      </c>
      <c r="E395" s="20"/>
      <c r="F395" s="20">
        <v>543.02</v>
      </c>
      <c r="G395" s="24">
        <f t="shared" si="25"/>
        <v>3.88949472918938E-2</v>
      </c>
      <c r="H395" s="20"/>
      <c r="I395" s="20">
        <v>394.04</v>
      </c>
      <c r="J395" s="24">
        <f t="shared" si="26"/>
        <v>7.3650793650803514E-4</v>
      </c>
      <c r="K395" s="20"/>
      <c r="L395" s="20">
        <v>461.47</v>
      </c>
      <c r="M395" s="14">
        <f t="shared" si="27"/>
        <v>-3.2494259347515264E-4</v>
      </c>
      <c r="N395" s="35"/>
    </row>
    <row r="396" spans="1:14" x14ac:dyDescent="0.2">
      <c r="A396" s="2">
        <v>32932</v>
      </c>
      <c r="B396" s="2"/>
      <c r="C396" s="21">
        <v>358.5</v>
      </c>
      <c r="D396" s="24">
        <f t="shared" si="24"/>
        <v>1.2883539582980275E-2</v>
      </c>
      <c r="E396" s="20"/>
      <c r="F396" s="20">
        <v>522.69000000000005</v>
      </c>
      <c r="G396" s="24">
        <f t="shared" si="25"/>
        <v>3.1048426866554957E-2</v>
      </c>
      <c r="H396" s="20"/>
      <c r="I396" s="20">
        <v>393.75</v>
      </c>
      <c r="J396" s="24">
        <f t="shared" si="26"/>
        <v>3.2358336730533566E-3</v>
      </c>
      <c r="K396" s="20"/>
      <c r="L396" s="20">
        <v>461.62</v>
      </c>
      <c r="M396" s="14">
        <f t="shared" si="27"/>
        <v>1.7577743538552681E-3</v>
      </c>
      <c r="N396" s="35"/>
    </row>
    <row r="397" spans="1:14" x14ac:dyDescent="0.2">
      <c r="A397" s="2">
        <v>32904</v>
      </c>
      <c r="B397" s="2"/>
      <c r="C397" s="21">
        <v>353.94</v>
      </c>
      <c r="D397" s="24">
        <f t="shared" si="24"/>
        <v>-6.7130544793231661E-2</v>
      </c>
      <c r="E397" s="20"/>
      <c r="F397" s="20">
        <v>506.95</v>
      </c>
      <c r="G397" s="24">
        <f t="shared" si="25"/>
        <v>-8.7365881759919439E-2</v>
      </c>
      <c r="H397" s="20"/>
      <c r="I397" s="20">
        <v>392.48</v>
      </c>
      <c r="J397" s="24">
        <f t="shared" si="26"/>
        <v>-1.1883182275931437E-2</v>
      </c>
      <c r="K397" s="20"/>
      <c r="L397" s="20">
        <v>460.81</v>
      </c>
      <c r="M397" s="14">
        <f t="shared" si="27"/>
        <v>-1.4942283026934566E-2</v>
      </c>
      <c r="N397" s="35"/>
    </row>
    <row r="398" spans="1:14" x14ac:dyDescent="0.2">
      <c r="A398" s="2">
        <v>32871</v>
      </c>
      <c r="B398" s="2"/>
      <c r="C398" s="21">
        <v>379.41</v>
      </c>
      <c r="D398" s="24">
        <f t="shared" si="24"/>
        <v>2.402094410407285E-2</v>
      </c>
      <c r="E398" s="20"/>
      <c r="F398" s="20">
        <v>555.48</v>
      </c>
      <c r="G398" s="24">
        <f t="shared" si="25"/>
        <v>3.8130003433507476E-3</v>
      </c>
      <c r="H398" s="20"/>
      <c r="I398" s="20">
        <v>397.2</v>
      </c>
      <c r="J398" s="24">
        <f t="shared" si="26"/>
        <v>2.6758216792044376E-3</v>
      </c>
      <c r="K398" s="20"/>
      <c r="L398" s="20">
        <v>467.8</v>
      </c>
      <c r="M398" s="14">
        <f t="shared" si="27"/>
        <v>1.6058237876031001E-3</v>
      </c>
      <c r="N398" s="35"/>
    </row>
    <row r="399" spans="1:14" x14ac:dyDescent="0.2">
      <c r="A399" s="2">
        <v>32842</v>
      </c>
      <c r="B399" s="2"/>
      <c r="C399" s="21">
        <v>370.51</v>
      </c>
      <c r="D399" s="24">
        <f t="shared" si="24"/>
        <v>2.0379499325273276E-2</v>
      </c>
      <c r="E399" s="20"/>
      <c r="F399" s="20">
        <v>553.37</v>
      </c>
      <c r="G399" s="24">
        <f t="shared" si="25"/>
        <v>6.7129966525980578E-3</v>
      </c>
      <c r="H399" s="20"/>
      <c r="I399" s="20">
        <v>396.14</v>
      </c>
      <c r="J399" s="24">
        <f t="shared" si="26"/>
        <v>9.5310907237513565E-3</v>
      </c>
      <c r="K399" s="20"/>
      <c r="L399" s="20">
        <v>467.05</v>
      </c>
      <c r="M399" s="14">
        <f t="shared" si="27"/>
        <v>9.5540712880703982E-3</v>
      </c>
      <c r="N399" s="35"/>
    </row>
    <row r="400" spans="1:14" x14ac:dyDescent="0.2">
      <c r="A400" s="2">
        <v>32812</v>
      </c>
      <c r="B400" s="2"/>
      <c r="C400" s="21">
        <v>363.11</v>
      </c>
      <c r="D400" s="24">
        <f t="shared" si="24"/>
        <v>-2.3215150373917193E-2</v>
      </c>
      <c r="E400" s="20"/>
      <c r="F400" s="20">
        <v>549.67999999999995</v>
      </c>
      <c r="G400" s="24">
        <f t="shared" si="25"/>
        <v>-5.9185978845034848E-2</v>
      </c>
      <c r="H400" s="20"/>
      <c r="I400" s="20">
        <v>392.4</v>
      </c>
      <c r="J400" s="24">
        <f t="shared" si="26"/>
        <v>2.4623338642713488E-2</v>
      </c>
      <c r="K400" s="20"/>
      <c r="L400" s="20">
        <v>462.63</v>
      </c>
      <c r="M400" s="14">
        <f t="shared" si="27"/>
        <v>2.6538265249517412E-2</v>
      </c>
      <c r="N400" s="35"/>
    </row>
    <row r="401" spans="1:14" x14ac:dyDescent="0.2">
      <c r="A401" s="2">
        <v>32780</v>
      </c>
      <c r="B401" s="2"/>
      <c r="C401" s="21">
        <v>371.74</v>
      </c>
      <c r="D401" s="24">
        <f t="shared" si="24"/>
        <v>-4.0455458807768796E-3</v>
      </c>
      <c r="E401" s="20"/>
      <c r="F401" s="20">
        <v>584.26</v>
      </c>
      <c r="G401" s="24">
        <f t="shared" si="25"/>
        <v>3.1764564482066326E-3</v>
      </c>
      <c r="H401" s="20"/>
      <c r="I401" s="20">
        <v>382.97</v>
      </c>
      <c r="J401" s="24">
        <f t="shared" si="26"/>
        <v>5.1178415831190094E-3</v>
      </c>
      <c r="K401" s="20"/>
      <c r="L401" s="20">
        <v>450.67</v>
      </c>
      <c r="M401" s="14">
        <f t="shared" si="27"/>
        <v>4.1666666666666519E-3</v>
      </c>
      <c r="N401" s="35"/>
    </row>
    <row r="402" spans="1:14" x14ac:dyDescent="0.2">
      <c r="A402" s="2">
        <v>32751</v>
      </c>
      <c r="B402" s="2"/>
      <c r="C402" s="21">
        <v>373.25</v>
      </c>
      <c r="D402" s="24">
        <f t="shared" si="24"/>
        <v>1.953018301010645E-2</v>
      </c>
      <c r="E402" s="20"/>
      <c r="F402" s="20">
        <v>582.41</v>
      </c>
      <c r="G402" s="24">
        <f t="shared" si="25"/>
        <v>2.4377803183537106E-2</v>
      </c>
      <c r="H402" s="20"/>
      <c r="I402" s="20">
        <v>381.02</v>
      </c>
      <c r="J402" s="24">
        <f t="shared" si="26"/>
        <v>-1.4815772462831278E-2</v>
      </c>
      <c r="K402" s="20"/>
      <c r="L402" s="20">
        <v>448.8</v>
      </c>
      <c r="M402" s="14">
        <f t="shared" si="27"/>
        <v>-1.7341040462427793E-2</v>
      </c>
      <c r="N402" s="35"/>
    </row>
    <row r="403" spans="1:14" x14ac:dyDescent="0.2">
      <c r="A403" s="2">
        <v>32720</v>
      </c>
      <c r="B403" s="2"/>
      <c r="C403" s="21">
        <v>366.1</v>
      </c>
      <c r="D403" s="24">
        <f t="shared" ref="D403:D420" si="28">C403/C404-1</f>
        <v>9.0297218416820701E-2</v>
      </c>
      <c r="E403" s="20"/>
      <c r="F403" s="20">
        <v>568.54999999999995</v>
      </c>
      <c r="G403" s="24">
        <f t="shared" ref="G403:G420" si="29">F403/F404-1</f>
        <v>3.863719400803789E-2</v>
      </c>
      <c r="H403" s="20"/>
      <c r="I403" s="20">
        <v>386.75</v>
      </c>
      <c r="J403" s="24">
        <f t="shared" ref="J403:J420" si="30">I403/I404-1</f>
        <v>2.1256931608133023E-2</v>
      </c>
      <c r="K403" s="20"/>
      <c r="L403" s="20">
        <v>456.72</v>
      </c>
      <c r="M403" s="14">
        <f t="shared" ref="M403:M420" si="31">L403/L404-1</f>
        <v>2.1493592180895194E-2</v>
      </c>
      <c r="N403" s="35"/>
    </row>
    <row r="404" spans="1:14" x14ac:dyDescent="0.2">
      <c r="A404" s="2">
        <v>32689</v>
      </c>
      <c r="B404" s="2"/>
      <c r="C404" s="21">
        <v>335.78</v>
      </c>
      <c r="D404" s="24">
        <f t="shared" si="28"/>
        <v>-5.6560750984631092E-3</v>
      </c>
      <c r="E404" s="20"/>
      <c r="F404" s="20">
        <v>547.4</v>
      </c>
      <c r="G404" s="24">
        <f t="shared" si="29"/>
        <v>-2.2866425090591114E-2</v>
      </c>
      <c r="H404" s="20"/>
      <c r="I404" s="20">
        <v>378.7</v>
      </c>
      <c r="J404" s="24">
        <f t="shared" si="30"/>
        <v>3.0448151070719076E-2</v>
      </c>
      <c r="K404" s="20"/>
      <c r="L404" s="20">
        <v>447.11</v>
      </c>
      <c r="M404" s="14">
        <f t="shared" si="31"/>
        <v>3.4258616701364764E-2</v>
      </c>
      <c r="N404" s="35"/>
    </row>
    <row r="405" spans="1:14" x14ac:dyDescent="0.2">
      <c r="A405" s="2">
        <v>32659</v>
      </c>
      <c r="B405" s="2"/>
      <c r="C405" s="21">
        <v>337.69</v>
      </c>
      <c r="D405" s="24">
        <f t="shared" si="28"/>
        <v>4.0454769534138402E-2</v>
      </c>
      <c r="E405" s="20"/>
      <c r="F405" s="20">
        <v>560.21</v>
      </c>
      <c r="G405" s="24">
        <f t="shared" si="29"/>
        <v>4.3066209875623818E-2</v>
      </c>
      <c r="H405" s="20"/>
      <c r="I405" s="20">
        <v>367.51</v>
      </c>
      <c r="J405" s="24">
        <f t="shared" si="30"/>
        <v>2.6277576096062516E-2</v>
      </c>
      <c r="K405" s="20"/>
      <c r="L405" s="20">
        <v>432.3</v>
      </c>
      <c r="M405" s="14">
        <f t="shared" si="31"/>
        <v>2.3752575366471795E-2</v>
      </c>
      <c r="N405" s="35"/>
    </row>
    <row r="406" spans="1:14" x14ac:dyDescent="0.2">
      <c r="A406" s="2">
        <v>32626</v>
      </c>
      <c r="B406" s="2"/>
      <c r="C406" s="21">
        <v>324.56</v>
      </c>
      <c r="D406" s="24">
        <f t="shared" si="28"/>
        <v>5.1921955013936483E-2</v>
      </c>
      <c r="E406" s="20"/>
      <c r="F406" s="20">
        <v>537.08000000000004</v>
      </c>
      <c r="G406" s="24">
        <f t="shared" si="29"/>
        <v>4.3643853717306058E-2</v>
      </c>
      <c r="H406" s="20"/>
      <c r="I406" s="20">
        <v>358.1</v>
      </c>
      <c r="J406" s="24">
        <f t="shared" si="30"/>
        <v>2.0925989280419666E-2</v>
      </c>
      <c r="K406" s="20"/>
      <c r="L406" s="20">
        <v>422.27</v>
      </c>
      <c r="M406" s="14">
        <f t="shared" si="31"/>
        <v>2.1555060963808659E-2</v>
      </c>
      <c r="N406" s="35"/>
    </row>
    <row r="407" spans="1:14" x14ac:dyDescent="0.2">
      <c r="A407" s="2">
        <v>32598</v>
      </c>
      <c r="B407" s="2"/>
      <c r="C407" s="21">
        <v>308.54000000000002</v>
      </c>
      <c r="D407" s="24">
        <f t="shared" si="28"/>
        <v>2.3315976252860748E-2</v>
      </c>
      <c r="E407" s="20"/>
      <c r="F407" s="20">
        <v>514.62</v>
      </c>
      <c r="G407" s="24">
        <f t="shared" si="29"/>
        <v>2.3589784390166235E-2</v>
      </c>
      <c r="H407" s="20"/>
      <c r="I407" s="20">
        <v>350.76</v>
      </c>
      <c r="J407" s="24">
        <f t="shared" si="30"/>
        <v>4.3235504652827661E-3</v>
      </c>
      <c r="K407" s="20"/>
      <c r="L407" s="20">
        <v>413.36</v>
      </c>
      <c r="M407" s="14">
        <f t="shared" si="31"/>
        <v>6.5502715075365092E-3</v>
      </c>
      <c r="N407" s="35"/>
    </row>
    <row r="408" spans="1:14" x14ac:dyDescent="0.2">
      <c r="A408" s="2">
        <v>32567</v>
      </c>
      <c r="B408" s="2"/>
      <c r="C408" s="21">
        <v>301.51</v>
      </c>
      <c r="D408" s="24">
        <f t="shared" si="28"/>
        <v>-2.4902170046246841E-2</v>
      </c>
      <c r="E408" s="20"/>
      <c r="F408" s="20">
        <v>502.76</v>
      </c>
      <c r="G408" s="24">
        <f t="shared" si="29"/>
        <v>7.2928353902868004E-3</v>
      </c>
      <c r="H408" s="20"/>
      <c r="I408" s="20">
        <v>349.25</v>
      </c>
      <c r="J408" s="24">
        <f t="shared" si="30"/>
        <v>-7.248436611711262E-3</v>
      </c>
      <c r="K408" s="20"/>
      <c r="L408" s="20">
        <v>410.67</v>
      </c>
      <c r="M408" s="14">
        <f t="shared" si="31"/>
        <v>-8.6899847925265838E-3</v>
      </c>
      <c r="N408" s="35"/>
    </row>
    <row r="409" spans="1:14" x14ac:dyDescent="0.2">
      <c r="A409" s="2">
        <v>32539</v>
      </c>
      <c r="B409" s="2"/>
      <c r="C409" s="21">
        <v>309.20999999999998</v>
      </c>
      <c r="D409" s="24">
        <f t="shared" si="28"/>
        <v>7.3198667221990643E-2</v>
      </c>
      <c r="E409" s="20"/>
      <c r="F409" s="20">
        <v>499.12</v>
      </c>
      <c r="G409" s="24">
        <f t="shared" si="29"/>
        <v>4.4664908535309245E-2</v>
      </c>
      <c r="H409" s="20"/>
      <c r="I409" s="20">
        <v>351.8</v>
      </c>
      <c r="J409" s="24">
        <f t="shared" si="30"/>
        <v>1.438828176811513E-2</v>
      </c>
      <c r="K409" s="20"/>
      <c r="L409" s="20">
        <v>414.27</v>
      </c>
      <c r="M409" s="14">
        <f t="shared" si="31"/>
        <v>1.2909851096603697E-2</v>
      </c>
      <c r="N409" s="35"/>
    </row>
    <row r="410" spans="1:14" x14ac:dyDescent="0.2">
      <c r="A410" s="2">
        <v>32507</v>
      </c>
      <c r="B410" s="2"/>
      <c r="C410" s="21">
        <v>288.12</v>
      </c>
      <c r="D410" s="24">
        <f t="shared" si="28"/>
        <v>1.7444734797655181E-2</v>
      </c>
      <c r="E410" s="20"/>
      <c r="F410" s="20">
        <v>477.78</v>
      </c>
      <c r="G410" s="24">
        <f t="shared" si="29"/>
        <v>3.9262175624823259E-2</v>
      </c>
      <c r="H410" s="20"/>
      <c r="I410" s="20">
        <v>346.81</v>
      </c>
      <c r="J410" s="24">
        <f t="shared" si="30"/>
        <v>1.1258010507475547E-3</v>
      </c>
      <c r="K410" s="20"/>
      <c r="L410" s="20">
        <v>408.99</v>
      </c>
      <c r="M410" s="14">
        <f t="shared" si="31"/>
        <v>4.0260218485330679E-3</v>
      </c>
      <c r="N410" s="35"/>
    </row>
    <row r="411" spans="1:14" x14ac:dyDescent="0.2">
      <c r="A411" s="2">
        <v>32477</v>
      </c>
      <c r="B411" s="2"/>
      <c r="C411" s="21">
        <v>283.18</v>
      </c>
      <c r="D411" s="24">
        <f t="shared" si="28"/>
        <v>-1.4237476938072091E-2</v>
      </c>
      <c r="E411" s="20"/>
      <c r="F411" s="20">
        <v>459.73</v>
      </c>
      <c r="G411" s="24">
        <f t="shared" si="29"/>
        <v>-3.3144755935981762E-2</v>
      </c>
      <c r="H411" s="20"/>
      <c r="I411" s="20">
        <v>346.42</v>
      </c>
      <c r="J411" s="24">
        <f t="shared" si="30"/>
        <v>-1.214782707881823E-2</v>
      </c>
      <c r="K411" s="20"/>
      <c r="L411" s="20">
        <v>407.35</v>
      </c>
      <c r="M411" s="14">
        <f t="shared" si="31"/>
        <v>-1.2197487754013192E-2</v>
      </c>
      <c r="N411" s="35"/>
    </row>
    <row r="412" spans="1:14" x14ac:dyDescent="0.2">
      <c r="A412" s="2">
        <v>32447</v>
      </c>
      <c r="B412" s="2"/>
      <c r="C412" s="21">
        <v>287.27</v>
      </c>
      <c r="D412" s="24">
        <f t="shared" si="28"/>
        <v>2.7836416329743319E-2</v>
      </c>
      <c r="E412" s="20"/>
      <c r="F412" s="20">
        <v>475.49</v>
      </c>
      <c r="G412" s="24">
        <f t="shared" si="29"/>
        <v>-1.1085229399775298E-2</v>
      </c>
      <c r="H412" s="20"/>
      <c r="I412" s="20">
        <v>350.68</v>
      </c>
      <c r="J412" s="24">
        <f t="shared" si="30"/>
        <v>1.8826263800116205E-2</v>
      </c>
      <c r="K412" s="20"/>
      <c r="L412" s="20">
        <v>412.38</v>
      </c>
      <c r="M412" s="14">
        <f t="shared" si="31"/>
        <v>1.7970871389780152E-2</v>
      </c>
      <c r="N412" s="35"/>
    </row>
    <row r="413" spans="1:14" x14ac:dyDescent="0.2">
      <c r="A413" s="2">
        <v>32416</v>
      </c>
      <c r="B413" s="2"/>
      <c r="C413" s="21">
        <v>279.49</v>
      </c>
      <c r="D413" s="24">
        <f t="shared" si="28"/>
        <v>4.2600813220427636E-2</v>
      </c>
      <c r="E413" s="20"/>
      <c r="F413" s="20">
        <v>480.82</v>
      </c>
      <c r="G413" s="24">
        <f t="shared" si="29"/>
        <v>2.6515798462852347E-2</v>
      </c>
      <c r="H413" s="20"/>
      <c r="I413" s="20">
        <v>344.2</v>
      </c>
      <c r="J413" s="24">
        <f t="shared" si="30"/>
        <v>2.2639491354210062E-2</v>
      </c>
      <c r="K413" s="20"/>
      <c r="L413" s="20">
        <v>405.1</v>
      </c>
      <c r="M413" s="14">
        <f t="shared" si="31"/>
        <v>2.2308585272295955E-2</v>
      </c>
      <c r="N413" s="35"/>
    </row>
    <row r="414" spans="1:14" x14ac:dyDescent="0.2">
      <c r="A414" s="2">
        <v>32386</v>
      </c>
      <c r="B414" s="2"/>
      <c r="C414" s="21">
        <v>268.07</v>
      </c>
      <c r="D414" s="24">
        <f t="shared" si="28"/>
        <v>-3.3947169267361077E-2</v>
      </c>
      <c r="E414" s="20"/>
      <c r="F414" s="20">
        <v>468.4</v>
      </c>
      <c r="G414" s="24">
        <f t="shared" si="29"/>
        <v>-2.548632060751066E-2</v>
      </c>
      <c r="H414" s="20"/>
      <c r="I414" s="20">
        <v>336.58</v>
      </c>
      <c r="J414" s="24">
        <f t="shared" si="30"/>
        <v>2.6213881441763398E-3</v>
      </c>
      <c r="K414" s="20"/>
      <c r="L414" s="20">
        <v>396.26</v>
      </c>
      <c r="M414" s="14">
        <f t="shared" si="31"/>
        <v>1.8202963037872166E-3</v>
      </c>
      <c r="N414" s="35"/>
    </row>
    <row r="415" spans="1:14" x14ac:dyDescent="0.2">
      <c r="A415" s="2">
        <v>32353</v>
      </c>
      <c r="B415" s="2"/>
      <c r="C415" s="21">
        <v>277.49</v>
      </c>
      <c r="D415" s="24">
        <f t="shared" si="28"/>
        <v>-3.7696560637611176E-3</v>
      </c>
      <c r="E415" s="20"/>
      <c r="F415" s="20">
        <v>480.65</v>
      </c>
      <c r="G415" s="24">
        <f t="shared" si="29"/>
        <v>-9.5000618225281608E-3</v>
      </c>
      <c r="H415" s="20"/>
      <c r="I415" s="20">
        <v>335.7</v>
      </c>
      <c r="J415" s="24">
        <f t="shared" si="30"/>
        <v>-5.2449106587253436E-3</v>
      </c>
      <c r="K415" s="20"/>
      <c r="L415" s="20">
        <v>395.54</v>
      </c>
      <c r="M415" s="14">
        <f t="shared" si="31"/>
        <v>-7.253469869236695E-3</v>
      </c>
      <c r="N415" s="35"/>
    </row>
    <row r="416" spans="1:14" x14ac:dyDescent="0.2">
      <c r="A416" s="2">
        <v>32324</v>
      </c>
      <c r="B416" s="2"/>
      <c r="C416" s="21">
        <v>278.54000000000002</v>
      </c>
      <c r="D416" s="24">
        <f t="shared" si="28"/>
        <v>4.5884650045058706E-2</v>
      </c>
      <c r="E416" s="20"/>
      <c r="F416" s="20">
        <v>485.26</v>
      </c>
      <c r="G416" s="24">
        <f t="shared" si="29"/>
        <v>7.1308724832214843E-2</v>
      </c>
      <c r="H416" s="20"/>
      <c r="I416" s="20">
        <v>337.47</v>
      </c>
      <c r="J416" s="24">
        <f t="shared" si="30"/>
        <v>2.4126001456664437E-2</v>
      </c>
      <c r="K416" s="20"/>
      <c r="L416" s="20">
        <v>398.43</v>
      </c>
      <c r="M416" s="14">
        <f t="shared" si="31"/>
        <v>2.2795533307662597E-2</v>
      </c>
      <c r="N416" s="35"/>
    </row>
    <row r="417" spans="1:14" x14ac:dyDescent="0.2">
      <c r="A417" s="2">
        <v>32294</v>
      </c>
      <c r="B417" s="2"/>
      <c r="C417" s="21">
        <v>266.32</v>
      </c>
      <c r="D417" s="24">
        <f t="shared" si="28"/>
        <v>8.6350552946521386E-3</v>
      </c>
      <c r="E417" s="20"/>
      <c r="F417" s="20">
        <v>452.96</v>
      </c>
      <c r="G417" s="24">
        <f t="shared" si="29"/>
        <v>-2.6876060755795295E-2</v>
      </c>
      <c r="H417" s="20"/>
      <c r="I417" s="20">
        <v>329.52</v>
      </c>
      <c r="J417" s="24">
        <f t="shared" si="30"/>
        <v>-6.7219291635267631E-3</v>
      </c>
      <c r="K417" s="20"/>
      <c r="L417" s="20">
        <v>389.55</v>
      </c>
      <c r="M417" s="14">
        <f t="shared" si="31"/>
        <v>-7.4653485527924612E-3</v>
      </c>
      <c r="N417" s="35"/>
    </row>
    <row r="418" spans="1:14" x14ac:dyDescent="0.2">
      <c r="A418" s="2">
        <v>32262</v>
      </c>
      <c r="B418" s="2"/>
      <c r="C418" s="21">
        <v>264.04000000000002</v>
      </c>
      <c r="D418" s="24">
        <f t="shared" si="28"/>
        <v>1.1066436913651279E-2</v>
      </c>
      <c r="E418" s="20"/>
      <c r="F418" s="20">
        <v>465.47</v>
      </c>
      <c r="G418" s="24">
        <f t="shared" si="29"/>
        <v>2.2741255053612353E-2</v>
      </c>
      <c r="H418" s="20"/>
      <c r="I418" s="20">
        <v>331.75</v>
      </c>
      <c r="J418" s="24">
        <f t="shared" si="30"/>
        <v>-5.3964922800180393E-3</v>
      </c>
      <c r="K418" s="20"/>
      <c r="L418" s="20">
        <v>392.48</v>
      </c>
      <c r="M418" s="14">
        <f t="shared" si="31"/>
        <v>-5.6245249556624577E-3</v>
      </c>
      <c r="N418" s="35"/>
    </row>
    <row r="419" spans="1:14" x14ac:dyDescent="0.2">
      <c r="A419" s="2">
        <v>32233</v>
      </c>
      <c r="B419" s="2"/>
      <c r="C419" s="21">
        <v>261.14999999999998</v>
      </c>
      <c r="D419" s="24">
        <f t="shared" si="28"/>
        <v>-3.0875422124912011E-2</v>
      </c>
      <c r="E419" s="20"/>
      <c r="F419" s="20">
        <v>455.12</v>
      </c>
      <c r="G419" s="24">
        <f t="shared" si="29"/>
        <v>4.6758205110513096E-2</v>
      </c>
      <c r="H419" s="20"/>
      <c r="I419" s="20">
        <v>333.55</v>
      </c>
      <c r="J419" s="24">
        <f t="shared" si="30"/>
        <v>-9.384930652490131E-3</v>
      </c>
      <c r="K419" s="20"/>
      <c r="L419" s="20">
        <v>394.7</v>
      </c>
      <c r="M419" s="14">
        <f t="shared" si="31"/>
        <v>-1.1173464274977563E-2</v>
      </c>
      <c r="N419" s="35"/>
    </row>
    <row r="420" spans="1:14" x14ac:dyDescent="0.2">
      <c r="A420" s="2">
        <v>32202</v>
      </c>
      <c r="B420" s="2"/>
      <c r="C420" s="21">
        <v>269.47000000000003</v>
      </c>
      <c r="D420" s="24">
        <f t="shared" si="28"/>
        <v>4.6607371732628966E-2</v>
      </c>
      <c r="E420" s="20"/>
      <c r="F420" s="20">
        <v>434.79</v>
      </c>
      <c r="G420" s="24">
        <f t="shared" si="29"/>
        <v>9.0136395547086634E-2</v>
      </c>
      <c r="H420" s="20"/>
      <c r="I420" s="20">
        <v>336.71</v>
      </c>
      <c r="J420" s="24">
        <f t="shared" si="30"/>
        <v>1.1870417117441967E-2</v>
      </c>
      <c r="K420" s="20"/>
      <c r="L420" s="20">
        <v>399.16</v>
      </c>
      <c r="M420" s="14">
        <f t="shared" si="31"/>
        <v>1.0429323612798802E-2</v>
      </c>
      <c r="N420" s="35"/>
    </row>
    <row r="421" spans="1:14" x14ac:dyDescent="0.2">
      <c r="A421" s="2">
        <v>32171</v>
      </c>
      <c r="B421" s="2"/>
      <c r="C421" s="21">
        <v>257.47000000000003</v>
      </c>
      <c r="D421" s="23"/>
      <c r="E421" s="20"/>
      <c r="F421" s="20">
        <v>398.84</v>
      </c>
      <c r="G421" s="23"/>
      <c r="H421" s="20"/>
      <c r="I421" s="20">
        <v>332.76</v>
      </c>
      <c r="J421" s="23"/>
      <c r="K421" s="20"/>
      <c r="L421" s="20">
        <v>395.04</v>
      </c>
      <c r="M421" s="14"/>
      <c r="N421" s="35"/>
    </row>
  </sheetData>
  <sortState xmlns:xlrd2="http://schemas.microsoft.com/office/spreadsheetml/2017/richdata2" ref="A18:M421">
    <sortCondition descending="1" ref="A18:A421"/>
  </sortState>
  <mergeCells count="27">
    <mergeCell ref="C3:G3"/>
    <mergeCell ref="I3:M3"/>
    <mergeCell ref="P35:T35"/>
    <mergeCell ref="P45:T45"/>
    <mergeCell ref="P41:T41"/>
    <mergeCell ref="A10:L10"/>
    <mergeCell ref="P16:Q16"/>
    <mergeCell ref="P23:T23"/>
    <mergeCell ref="P13:T13"/>
    <mergeCell ref="W45:AA45"/>
    <mergeCell ref="AD13:AH13"/>
    <mergeCell ref="AD16:AE16"/>
    <mergeCell ref="AD23:AH23"/>
    <mergeCell ref="AD35:AH35"/>
    <mergeCell ref="AD41:AH41"/>
    <mergeCell ref="AD45:AH45"/>
    <mergeCell ref="W13:AA13"/>
    <mergeCell ref="W16:X16"/>
    <mergeCell ref="W23:AA23"/>
    <mergeCell ref="W35:AA35"/>
    <mergeCell ref="W41:AA41"/>
    <mergeCell ref="AK45:AO45"/>
    <mergeCell ref="AK13:AO13"/>
    <mergeCell ref="AK16:AL16"/>
    <mergeCell ref="AK23:AO23"/>
    <mergeCell ref="AK35:AO35"/>
    <mergeCell ref="AK41:AO4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EA565E-E5B5-40CC-AC09-B97D2399F51F}">
  <sheetPr codeName="Sheet9"/>
  <dimension ref="B2:M13"/>
  <sheetViews>
    <sheetView workbookViewId="0">
      <selection activeCell="H22" sqref="H22"/>
    </sheetView>
  </sheetViews>
  <sheetFormatPr baseColWidth="10" defaultColWidth="8.83203125" defaultRowHeight="15" x14ac:dyDescent="0.2"/>
  <cols>
    <col min="3" max="3" width="9.5" bestFit="1" customWidth="1"/>
    <col min="4" max="4" width="7.6640625" bestFit="1" customWidth="1"/>
    <col min="5" max="5" width="11" bestFit="1" customWidth="1"/>
    <col min="6" max="6" width="9.1640625" bestFit="1" customWidth="1"/>
    <col min="7" max="7" width="9.83203125" bestFit="1" customWidth="1"/>
    <col min="9" max="9" width="9.5" bestFit="1" customWidth="1"/>
    <col min="10" max="10" width="7.6640625" bestFit="1" customWidth="1"/>
    <col min="11" max="11" width="11" bestFit="1" customWidth="1"/>
    <col min="12" max="12" width="9.1640625" bestFit="1" customWidth="1"/>
    <col min="13" max="13" width="9.83203125" bestFit="1" customWidth="1"/>
  </cols>
  <sheetData>
    <row r="2" spans="2:13" ht="16" thickBot="1" x14ac:dyDescent="0.25">
      <c r="B2" s="63" t="s">
        <v>95</v>
      </c>
      <c r="C2" s="63"/>
      <c r="D2" s="63"/>
      <c r="E2" s="63"/>
      <c r="F2" s="63"/>
      <c r="G2" s="63"/>
      <c r="H2" s="63"/>
      <c r="I2" s="63"/>
      <c r="J2" s="63"/>
      <c r="K2" s="63"/>
      <c r="L2" s="63"/>
      <c r="M2" s="63"/>
    </row>
    <row r="3" spans="2:13" ht="16" thickBot="1" x14ac:dyDescent="0.25">
      <c r="B3" s="50"/>
      <c r="C3" s="50"/>
      <c r="D3" s="50"/>
      <c r="E3" s="50"/>
      <c r="F3" s="50"/>
      <c r="G3" s="50"/>
      <c r="H3" s="50"/>
      <c r="I3" s="50"/>
      <c r="J3" s="50"/>
      <c r="K3" s="50"/>
      <c r="L3" s="50"/>
      <c r="M3" s="50"/>
    </row>
    <row r="4" spans="2:13" x14ac:dyDescent="0.2">
      <c r="B4" s="36"/>
      <c r="C4" s="62" t="s">
        <v>73</v>
      </c>
      <c r="D4" s="62"/>
      <c r="E4" s="62"/>
      <c r="F4" s="62"/>
      <c r="G4" s="62"/>
      <c r="H4" s="37"/>
      <c r="I4" s="62" t="s">
        <v>74</v>
      </c>
      <c r="J4" s="62"/>
      <c r="K4" s="62"/>
      <c r="L4" s="62"/>
      <c r="M4" s="64"/>
    </row>
    <row r="5" spans="2:13" x14ac:dyDescent="0.2">
      <c r="B5" s="38"/>
      <c r="C5" s="39" t="s">
        <v>89</v>
      </c>
      <c r="D5" s="39" t="s">
        <v>61</v>
      </c>
      <c r="E5" s="39" t="s">
        <v>62</v>
      </c>
      <c r="F5" s="39" t="s">
        <v>67</v>
      </c>
      <c r="G5" s="39" t="s">
        <v>68</v>
      </c>
      <c r="H5" s="39"/>
      <c r="I5" s="39" t="s">
        <v>89</v>
      </c>
      <c r="J5" s="39" t="s">
        <v>61</v>
      </c>
      <c r="K5" s="39" t="s">
        <v>62</v>
      </c>
      <c r="L5" s="39" t="s">
        <v>67</v>
      </c>
      <c r="M5" s="40" t="s">
        <v>68</v>
      </c>
    </row>
    <row r="6" spans="2:13" x14ac:dyDescent="0.2">
      <c r="B6" s="38"/>
      <c r="C6" s="39" t="s">
        <v>90</v>
      </c>
      <c r="D6" s="41">
        <v>0.5</v>
      </c>
      <c r="E6" s="41">
        <v>0.4</v>
      </c>
      <c r="F6" s="41">
        <v>0.05</v>
      </c>
      <c r="G6" s="41">
        <f>1-SUM(D6:F6)</f>
        <v>4.9999999999999933E-2</v>
      </c>
      <c r="H6" s="39"/>
      <c r="I6" s="39" t="s">
        <v>90</v>
      </c>
      <c r="J6" s="41">
        <v>4.9999999999999989E-2</v>
      </c>
      <c r="K6" s="41">
        <v>4.9999999999999989E-2</v>
      </c>
      <c r="L6" s="41">
        <v>0.4</v>
      </c>
      <c r="M6" s="42">
        <f>1-SUM(J6:L6)</f>
        <v>0.5</v>
      </c>
    </row>
    <row r="7" spans="2:13" x14ac:dyDescent="0.2">
      <c r="B7" s="38"/>
      <c r="C7" s="39" t="s">
        <v>91</v>
      </c>
      <c r="D7" s="41">
        <v>0.5</v>
      </c>
      <c r="E7" s="41">
        <v>0.4</v>
      </c>
      <c r="F7" s="41">
        <v>0.05</v>
      </c>
      <c r="G7" s="41">
        <f>1-SUM(D7:F7)</f>
        <v>4.9999999999999933E-2</v>
      </c>
      <c r="H7" s="39"/>
      <c r="I7" s="39" t="s">
        <v>91</v>
      </c>
      <c r="J7" s="41">
        <v>5.0000000000000017E-2</v>
      </c>
      <c r="K7" s="41">
        <v>4.9999999999999989E-2</v>
      </c>
      <c r="L7" s="41">
        <v>0.42229019457494965</v>
      </c>
      <c r="M7" s="42">
        <f>1-SUM(J7:L7)</f>
        <v>0.47770980542505037</v>
      </c>
    </row>
    <row r="8" spans="2:13" x14ac:dyDescent="0.2">
      <c r="B8" s="38"/>
      <c r="C8" s="39" t="s">
        <v>92</v>
      </c>
      <c r="D8" s="41">
        <v>0.4</v>
      </c>
      <c r="E8" s="41">
        <v>0.5</v>
      </c>
      <c r="F8" s="41">
        <v>5.0000000000000017E-2</v>
      </c>
      <c r="G8" s="41">
        <f>1-SUM(D8:F8)</f>
        <v>4.9999999999999933E-2</v>
      </c>
      <c r="H8" s="39"/>
      <c r="I8" s="39" t="s">
        <v>92</v>
      </c>
      <c r="J8" s="41">
        <v>0.05</v>
      </c>
      <c r="K8" s="41">
        <v>0.05</v>
      </c>
      <c r="L8" s="41">
        <v>0.5</v>
      </c>
      <c r="M8" s="42">
        <f>1-SUM(J8:L8)</f>
        <v>0.4</v>
      </c>
    </row>
    <row r="9" spans="2:13" ht="16" thickBot="1" x14ac:dyDescent="0.25">
      <c r="B9" s="43"/>
      <c r="C9" s="44" t="s">
        <v>93</v>
      </c>
      <c r="D9" s="45">
        <v>0.4</v>
      </c>
      <c r="E9" s="45">
        <v>0.50000000000000011</v>
      </c>
      <c r="F9" s="45">
        <v>5.0000000000000017E-2</v>
      </c>
      <c r="G9" s="45">
        <v>4.9999999999999822E-2</v>
      </c>
      <c r="H9" s="44"/>
      <c r="I9" s="44" t="s">
        <v>93</v>
      </c>
      <c r="J9" s="45">
        <v>0.05</v>
      </c>
      <c r="K9" s="45">
        <v>0.05</v>
      </c>
      <c r="L9" s="45">
        <v>0.5</v>
      </c>
      <c r="M9" s="46">
        <f>1-SUM(J9:L9)</f>
        <v>0.4</v>
      </c>
    </row>
    <row r="10" spans="2:13" ht="16" thickBot="1" x14ac:dyDescent="0.25"/>
    <row r="11" spans="2:13" x14ac:dyDescent="0.2">
      <c r="B11" s="65" t="s">
        <v>73</v>
      </c>
      <c r="C11" s="62"/>
      <c r="D11" s="62"/>
      <c r="E11" s="62"/>
      <c r="F11" s="62"/>
      <c r="G11" s="62"/>
      <c r="H11" s="37"/>
      <c r="I11" s="62" t="s">
        <v>74</v>
      </c>
      <c r="J11" s="62"/>
      <c r="K11" s="62"/>
      <c r="L11" s="62"/>
      <c r="M11" s="64"/>
    </row>
    <row r="12" spans="2:13" x14ac:dyDescent="0.2">
      <c r="B12" s="38"/>
      <c r="C12" s="39" t="s">
        <v>1</v>
      </c>
      <c r="D12" s="39" t="s">
        <v>2</v>
      </c>
      <c r="E12" s="39" t="s">
        <v>3</v>
      </c>
      <c r="F12" s="39" t="s">
        <v>4</v>
      </c>
      <c r="G12" s="39" t="s">
        <v>5</v>
      </c>
      <c r="H12" s="39"/>
      <c r="I12" s="39" t="s">
        <v>1</v>
      </c>
      <c r="J12" s="39" t="s">
        <v>2</v>
      </c>
      <c r="K12" s="39" t="s">
        <v>3</v>
      </c>
      <c r="L12" s="39" t="s">
        <v>4</v>
      </c>
      <c r="M12" s="40" t="s">
        <v>5</v>
      </c>
    </row>
    <row r="13" spans="2:13" ht="16" thickBot="1" x14ac:dyDescent="0.25">
      <c r="B13" s="43" t="s">
        <v>94</v>
      </c>
      <c r="C13" s="47">
        <v>0.5</v>
      </c>
      <c r="D13" s="47">
        <v>0.05</v>
      </c>
      <c r="E13" s="47">
        <v>0.35</v>
      </c>
      <c r="F13" s="47">
        <v>0.05</v>
      </c>
      <c r="G13" s="47">
        <v>0.05</v>
      </c>
      <c r="H13" s="44"/>
      <c r="I13" s="48">
        <f>1-SUM(J13:M13)</f>
        <v>7.2924098091866174E-2</v>
      </c>
      <c r="J13" s="48">
        <v>0.05</v>
      </c>
      <c r="K13" s="48">
        <v>0.05</v>
      </c>
      <c r="L13" s="48">
        <v>0.3739975145503795</v>
      </c>
      <c r="M13" s="49">
        <v>0.4530783873577543</v>
      </c>
    </row>
  </sheetData>
  <mergeCells count="5">
    <mergeCell ref="B2:M2"/>
    <mergeCell ref="C4:G4"/>
    <mergeCell ref="I4:M4"/>
    <mergeCell ref="B11:G11"/>
    <mergeCell ref="I11:M1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26</vt:i4>
      </vt:variant>
    </vt:vector>
  </HeadingPairs>
  <TitlesOfParts>
    <vt:vector size="35" baseType="lpstr">
      <vt:lpstr>Intro Sheet</vt:lpstr>
      <vt:lpstr>Adj. Price &amp; Expected Return</vt:lpstr>
      <vt:lpstr>Expected Return &amp; Cov. Matrix</vt:lpstr>
      <vt:lpstr>Max-min Return and Risk</vt:lpstr>
      <vt:lpstr>Unconst. Efficient Frontier</vt:lpstr>
      <vt:lpstr>Const. Efficient Frontier</vt:lpstr>
      <vt:lpstr>Min Var and Max Ret. Portfolio</vt:lpstr>
      <vt:lpstr>Long Term Return Series</vt:lpstr>
      <vt:lpstr> Long and Short Term Comparison</vt:lpstr>
      <vt:lpstr>change1</vt:lpstr>
      <vt:lpstr>change2</vt:lpstr>
      <vt:lpstr>change3</vt:lpstr>
      <vt:lpstr>effwts1</vt:lpstr>
      <vt:lpstr>effwts2</vt:lpstr>
      <vt:lpstr>maxwts</vt:lpstr>
      <vt:lpstr>minwts</vt:lpstr>
      <vt:lpstr>niter1</vt:lpstr>
      <vt:lpstr>niter2</vt:lpstr>
      <vt:lpstr>portmax1</vt:lpstr>
      <vt:lpstr>portmax2</vt:lpstr>
      <vt:lpstr>portmin1</vt:lpstr>
      <vt:lpstr>portmin2</vt:lpstr>
      <vt:lpstr>portret1</vt:lpstr>
      <vt:lpstr>portret2</vt:lpstr>
      <vt:lpstr>portret3</vt:lpstr>
      <vt:lpstr>portsd1</vt:lpstr>
      <vt:lpstr>portsd2</vt:lpstr>
      <vt:lpstr>portstd3</vt:lpstr>
      <vt:lpstr>portwts1</vt:lpstr>
      <vt:lpstr>portwts2</vt:lpstr>
      <vt:lpstr>portwts3</vt:lpstr>
      <vt:lpstr>portwts4</vt:lpstr>
      <vt:lpstr>priter1</vt:lpstr>
      <vt:lpstr>priter2</vt:lpstr>
      <vt:lpstr>target1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Siddhanta Phuyal</dc:creator>
  <cp:lastModifiedBy>Robin Bista</cp:lastModifiedBy>
  <dcterms:created xsi:type="dcterms:W3CDTF">2015-06-05T18:17:20Z</dcterms:created>
  <dcterms:modified xsi:type="dcterms:W3CDTF">2022-08-19T16:51:39Z</dcterms:modified>
</cp:coreProperties>
</file>