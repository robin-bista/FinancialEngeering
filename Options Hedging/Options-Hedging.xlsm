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robinbista/Desktop/Finacial-Engineering-Projects/"/>
    </mc:Choice>
  </mc:AlternateContent>
  <xr:revisionPtr revIDLastSave="0" documentId="13_ncr:1_{C5132BBC-F334-4046-9A80-5F8617F73753}" xr6:coauthVersionLast="47" xr6:coauthVersionMax="47" xr10:uidLastSave="{00000000-0000-0000-0000-000000000000}"/>
  <bookViews>
    <workbookView xWindow="0" yWindow="500" windowWidth="23260" windowHeight="12460" activeTab="5" xr2:uid="{640AC8B8-CE46-1245-BBE4-D023140D3099}"/>
  </bookViews>
  <sheets>
    <sheet name="Introduction" sheetId="9" r:id="rId1"/>
    <sheet name="Cal. of Appropriate Inputs" sheetId="2" r:id="rId2"/>
    <sheet name="Pricing Engines " sheetId="1" r:id="rId3"/>
    <sheet name="Delta Hed. using historical dat" sheetId="7" r:id="rId4"/>
    <sheet name="Calc of Implied Volatility" sheetId="5" r:id="rId5"/>
    <sheet name="Delta using implied volatility" sheetId="6" r:id="rId6"/>
    <sheet name="Delta Hed. using implied volati" sheetId="8" r:id="rId7"/>
  </sheets>
  <definedNames>
    <definedName name="d" localSheetId="4">'Calc of Implied Volatility'!$B$21</definedName>
    <definedName name="d" localSheetId="5">'Delta using implied volatility'!$B$19</definedName>
    <definedName name="d">'Pricing Engines '!$B$19</definedName>
    <definedName name="d_1" localSheetId="4">'Calc of Implied Volatility'!$F$11</definedName>
    <definedName name="d_1" localSheetId="5">'Delta using implied volatility'!$M$9</definedName>
    <definedName name="d_1">'Pricing Engines '!$M$9</definedName>
    <definedName name="d_2" localSheetId="4">'Calc of Implied Volatility'!$F$12</definedName>
    <definedName name="d_2" localSheetId="5">'Delta using implied volatility'!$M$10</definedName>
    <definedName name="d_2">'Pricing Engines '!$M$10</definedName>
    <definedName name="dt" localSheetId="4">'Calc of Implied Volatility'!$B$17</definedName>
    <definedName name="dt" localSheetId="5">'Delta using implied volatility'!$B$15</definedName>
    <definedName name="dt">'Pricing Engines '!$B$15</definedName>
    <definedName name="K" localSheetId="4">'Calc of Implied Volatility'!$B$13</definedName>
    <definedName name="K" localSheetId="5">'Delta using implied volatility'!$B$11</definedName>
    <definedName name="K">'Pricing Engines '!$B$11</definedName>
    <definedName name="n" localSheetId="4">'Calc of Implied Volatility'!$B$16</definedName>
    <definedName name="n" localSheetId="5">'Delta using implied volatility'!$B$14</definedName>
    <definedName name="n">'Pricing Engines '!$B$14</definedName>
    <definedName name="p" localSheetId="4">'Calc of Implied Volatility'!$B$22</definedName>
    <definedName name="p" localSheetId="5">'Delta using implied volatility'!$B$20</definedName>
    <definedName name="p">'Pricing Engines '!$B$20</definedName>
    <definedName name="pnot" localSheetId="4">'Calc of Implied Volatility'!$B$23</definedName>
    <definedName name="pnot" localSheetId="5">'Delta using implied volatility'!$B$21</definedName>
    <definedName name="pnot">'Pricing Engines '!$B$21</definedName>
    <definedName name="q" localSheetId="4">'Calc of Implied Volatility'!$B$18</definedName>
    <definedName name="q" localSheetId="5">'Delta using implied volatility'!$B$16</definedName>
    <definedName name="q">'Pricing Engines '!$B$16</definedName>
    <definedName name="rf" localSheetId="4">'Calc of Implied Volatility'!$B$15</definedName>
    <definedName name="rf" localSheetId="5">'Delta using implied volatility'!$B$13</definedName>
    <definedName name="rf">'Pricing Engines '!$B$13</definedName>
    <definedName name="S" localSheetId="4">'Calc of Implied Volatility'!$B$11</definedName>
    <definedName name="S" localSheetId="5">'Delta using implied volatility'!$B$9</definedName>
    <definedName name="S">'Pricing Engines '!$B$9</definedName>
    <definedName name="sigma" localSheetId="4">'Calc of Implied Volatility'!$B$14</definedName>
    <definedName name="sigma" localSheetId="5">'Delta using implied volatility'!$B$12</definedName>
    <definedName name="sigma">'Pricing Engines '!$B$12</definedName>
    <definedName name="solver_adj" localSheetId="4" hidden="1">'Calc of Implied Volatility'!$B$14</definedName>
    <definedName name="solver_adj" localSheetId="5" hidden="1">'Delta using implied volatility'!$B$12</definedName>
    <definedName name="solver_cvg" localSheetId="4" hidden="1">0.0001</definedName>
    <definedName name="solver_cvg" localSheetId="5" hidden="1">0.0001</definedName>
    <definedName name="solver_drv" localSheetId="4" hidden="1">1</definedName>
    <definedName name="solver_drv" localSheetId="5" hidden="1">1</definedName>
    <definedName name="solver_eng" localSheetId="4" hidden="1">1</definedName>
    <definedName name="solver_eng" localSheetId="5" hidden="1">1</definedName>
    <definedName name="solver_est" localSheetId="4" hidden="1">1</definedName>
    <definedName name="solver_est" localSheetId="5" hidden="1">1</definedName>
    <definedName name="solver_itr" localSheetId="4" hidden="1">2147483647</definedName>
    <definedName name="solver_itr" localSheetId="5" hidden="1">2147483647</definedName>
    <definedName name="solver_mip" localSheetId="4" hidden="1">2147483647</definedName>
    <definedName name="solver_mip" localSheetId="5" hidden="1">2147483647</definedName>
    <definedName name="solver_mni" localSheetId="4" hidden="1">30</definedName>
    <definedName name="solver_mni" localSheetId="5" hidden="1">30</definedName>
    <definedName name="solver_mrt" localSheetId="4" hidden="1">0.075</definedName>
    <definedName name="solver_mrt" localSheetId="5" hidden="1">0.075</definedName>
    <definedName name="solver_msl" localSheetId="4" hidden="1">2</definedName>
    <definedName name="solver_msl" localSheetId="5" hidden="1">2</definedName>
    <definedName name="solver_neg" localSheetId="4" hidden="1">1</definedName>
    <definedName name="solver_neg" localSheetId="5" hidden="1">1</definedName>
    <definedName name="solver_nod" localSheetId="4" hidden="1">2147483647</definedName>
    <definedName name="solver_nod" localSheetId="5" hidden="1">2147483647</definedName>
    <definedName name="solver_num" localSheetId="4" hidden="1">0</definedName>
    <definedName name="solver_num" localSheetId="5" hidden="1">0</definedName>
    <definedName name="solver_nwt" localSheetId="4" hidden="1">1</definedName>
    <definedName name="solver_nwt" localSheetId="5" hidden="1">1</definedName>
    <definedName name="solver_opt" localSheetId="4" hidden="1">'Calc of Implied Volatility'!$F$18</definedName>
    <definedName name="solver_opt" localSheetId="5" hidden="1">'Delta using implied volatility'!$M$16</definedName>
    <definedName name="solver_pre" localSheetId="4" hidden="1">0.000001</definedName>
    <definedName name="solver_pre" localSheetId="5" hidden="1">0.000001</definedName>
    <definedName name="solver_rbv" localSheetId="4" hidden="1">1</definedName>
    <definedName name="solver_rbv" localSheetId="5" hidden="1">1</definedName>
    <definedName name="solver_rlx" localSheetId="4" hidden="1">2</definedName>
    <definedName name="solver_rlx" localSheetId="5" hidden="1">2</definedName>
    <definedName name="solver_rsd" localSheetId="4" hidden="1">0</definedName>
    <definedName name="solver_rsd" localSheetId="5" hidden="1">0</definedName>
    <definedName name="solver_scl" localSheetId="4" hidden="1">1</definedName>
    <definedName name="solver_scl" localSheetId="5" hidden="1">1</definedName>
    <definedName name="solver_sho" localSheetId="4" hidden="1">2</definedName>
    <definedName name="solver_sho" localSheetId="5" hidden="1">2</definedName>
    <definedName name="solver_ssz" localSheetId="4" hidden="1">100</definedName>
    <definedName name="solver_ssz" localSheetId="5" hidden="1">100</definedName>
    <definedName name="solver_tim" localSheetId="4" hidden="1">2147483647</definedName>
    <definedName name="solver_tim" localSheetId="5" hidden="1">2147483647</definedName>
    <definedName name="solver_tol" localSheetId="4" hidden="1">0.01</definedName>
    <definedName name="solver_tol" localSheetId="5" hidden="1">0.01</definedName>
    <definedName name="solver_typ" localSheetId="4" hidden="1">3</definedName>
    <definedName name="solver_typ" localSheetId="5" hidden="1">3</definedName>
    <definedName name="solver_val" localSheetId="4" hidden="1">0</definedName>
    <definedName name="solver_val" localSheetId="5" hidden="1">0</definedName>
    <definedName name="solver_ver" localSheetId="4" hidden="1">3</definedName>
    <definedName name="solver_ver" localSheetId="5" hidden="1">3</definedName>
    <definedName name="T" localSheetId="4">'Calc of Implied Volatility'!$B$12</definedName>
    <definedName name="T" localSheetId="5">'Delta using implied volatility'!$B$10</definedName>
    <definedName name="T">'Pricing Engines '!$B$10</definedName>
    <definedName name="u" localSheetId="4">'Calc of Implied Volatility'!$B$20</definedName>
    <definedName name="u" localSheetId="5">'Delta using implied volatility'!$B$18</definedName>
    <definedName name="u">'Pricing Engines '!$B$18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6" i="7" l="1"/>
  <c r="G27" i="8"/>
  <c r="E20" i="7"/>
  <c r="D29" i="1"/>
  <c r="B16" i="8"/>
  <c r="B15" i="7"/>
  <c r="B15" i="8" l="1"/>
  <c r="B17" i="8" s="1"/>
  <c r="B13" i="8"/>
  <c r="B12" i="8"/>
  <c r="B10" i="8"/>
  <c r="B14" i="7"/>
  <c r="B16" i="7" s="1"/>
  <c r="B12" i="7"/>
  <c r="B11" i="7"/>
  <c r="B9" i="7"/>
  <c r="B15" i="2"/>
  <c r="B12" i="2"/>
  <c r="B19" i="2" s="1"/>
  <c r="B16" i="6"/>
  <c r="B14" i="6"/>
  <c r="B13" i="6"/>
  <c r="B11" i="6"/>
  <c r="B10" i="6"/>
  <c r="B15" i="6" s="1"/>
  <c r="B18" i="6" s="1"/>
  <c r="B9" i="6"/>
  <c r="M9" i="6" s="1"/>
  <c r="M10" i="6" s="1"/>
  <c r="F17" i="5"/>
  <c r="B18" i="5"/>
  <c r="B16" i="5"/>
  <c r="B15" i="5"/>
  <c r="B13" i="5"/>
  <c r="B12" i="5"/>
  <c r="B17" i="5" s="1"/>
  <c r="F11" i="5"/>
  <c r="F12" i="5" s="1"/>
  <c r="B11" i="5"/>
  <c r="B16" i="1"/>
  <c r="B14" i="1"/>
  <c r="B13" i="1"/>
  <c r="B11" i="1"/>
  <c r="B10" i="1"/>
  <c r="B9" i="1"/>
  <c r="F11" i="2"/>
  <c r="G11" i="2" s="1"/>
  <c r="H11" i="2" s="1"/>
  <c r="F12" i="2"/>
  <c r="F13" i="2"/>
  <c r="F14" i="2"/>
  <c r="F15" i="2"/>
  <c r="F16" i="2"/>
  <c r="F17" i="2"/>
  <c r="F18" i="2"/>
  <c r="F19" i="2"/>
  <c r="F20" i="2"/>
  <c r="F21" i="2"/>
  <c r="F22" i="2"/>
  <c r="F23" i="2"/>
  <c r="F24" i="2"/>
  <c r="F25" i="2"/>
  <c r="F26" i="2"/>
  <c r="F27" i="2"/>
  <c r="G27" i="2" s="1"/>
  <c r="H27" i="2" s="1"/>
  <c r="F28" i="2"/>
  <c r="F10" i="2"/>
  <c r="C24" i="8" l="1"/>
  <c r="C25" i="8"/>
  <c r="C21" i="8"/>
  <c r="C22" i="8"/>
  <c r="C23" i="8"/>
  <c r="E23" i="8"/>
  <c r="E24" i="8"/>
  <c r="E25" i="8"/>
  <c r="E21" i="8"/>
  <c r="E22" i="8"/>
  <c r="C21" i="7"/>
  <c r="C22" i="7"/>
  <c r="C23" i="7"/>
  <c r="C24" i="7"/>
  <c r="C20" i="7"/>
  <c r="E24" i="7"/>
  <c r="E22" i="7"/>
  <c r="E21" i="7"/>
  <c r="E23" i="7"/>
  <c r="G19" i="2"/>
  <c r="H19" i="2" s="1"/>
  <c r="G22" i="2"/>
  <c r="H22" i="2" s="1"/>
  <c r="G14" i="2"/>
  <c r="H14" i="2" s="1"/>
  <c r="G10" i="2"/>
  <c r="H10" i="2" s="1"/>
  <c r="G21" i="2"/>
  <c r="H21" i="2" s="1"/>
  <c r="G13" i="2"/>
  <c r="H13" i="2" s="1"/>
  <c r="G28" i="2"/>
  <c r="H28" i="2" s="1"/>
  <c r="G20" i="2"/>
  <c r="H20" i="2" s="1"/>
  <c r="G12" i="2"/>
  <c r="H12" i="2" s="1"/>
  <c r="G18" i="2"/>
  <c r="H18" i="2" s="1"/>
  <c r="G25" i="2"/>
  <c r="H25" i="2" s="1"/>
  <c r="G24" i="2"/>
  <c r="H24" i="2" s="1"/>
  <c r="G15" i="2"/>
  <c r="H15" i="2" s="1"/>
  <c r="G17" i="2"/>
  <c r="H17" i="2" s="1"/>
  <c r="G16" i="2"/>
  <c r="H16" i="2" s="1"/>
  <c r="D15" i="6"/>
  <c r="E16" i="6" s="1"/>
  <c r="G26" i="2"/>
  <c r="H26" i="2" s="1"/>
  <c r="G23" i="2"/>
  <c r="H23" i="2" s="1"/>
  <c r="B19" i="6"/>
  <c r="B20" i="6" s="1"/>
  <c r="B21" i="6" s="1"/>
  <c r="M11" i="6"/>
  <c r="F13" i="5"/>
  <c r="F18" i="5" s="1"/>
  <c r="B15" i="1"/>
  <c r="D15" i="1"/>
  <c r="E14" i="6" l="1"/>
  <c r="F13" i="6" s="1"/>
  <c r="B14" i="2"/>
  <c r="B16" i="2" s="1"/>
  <c r="B11" i="8" s="1"/>
  <c r="F17" i="6"/>
  <c r="F15" i="6"/>
  <c r="G12" i="6"/>
  <c r="G14" i="6"/>
  <c r="H15" i="6" s="1"/>
  <c r="I16" i="6" s="1"/>
  <c r="I30" i="6" s="1"/>
  <c r="B10" i="7" l="1"/>
  <c r="B12" i="1"/>
  <c r="B18" i="1" s="1"/>
  <c r="E14" i="1" s="1"/>
  <c r="F13" i="1" s="1"/>
  <c r="G12" i="1" s="1"/>
  <c r="H11" i="1" s="1"/>
  <c r="G18" i="6"/>
  <c r="H19" i="6" s="1"/>
  <c r="I20" i="6" s="1"/>
  <c r="I34" i="6" s="1"/>
  <c r="G16" i="6"/>
  <c r="H17" i="6" s="1"/>
  <c r="I18" i="6" s="1"/>
  <c r="I32" i="6" s="1"/>
  <c r="H31" i="6" s="1"/>
  <c r="H11" i="6"/>
  <c r="I10" i="6" s="1"/>
  <c r="I24" i="6" s="1"/>
  <c r="H13" i="6"/>
  <c r="H33" i="6" l="1"/>
  <c r="G32" i="6" s="1"/>
  <c r="H48" i="6"/>
  <c r="H46" i="6"/>
  <c r="M9" i="1"/>
  <c r="M10" i="1" s="1"/>
  <c r="B19" i="1"/>
  <c r="I12" i="6"/>
  <c r="I26" i="6" s="1"/>
  <c r="H40" i="6" s="1"/>
  <c r="I14" i="6"/>
  <c r="I28" i="6" s="1"/>
  <c r="H25" i="6" l="1"/>
  <c r="G41" i="6" s="1"/>
  <c r="H29" i="6"/>
  <c r="H44" i="6"/>
  <c r="H42" i="6"/>
  <c r="G47" i="6"/>
  <c r="M11" i="1"/>
  <c r="E16" i="1"/>
  <c r="B20" i="1"/>
  <c r="B21" i="1" s="1"/>
  <c r="G14" i="1"/>
  <c r="H15" i="1" s="1"/>
  <c r="I16" i="1" s="1"/>
  <c r="I30" i="1" s="1"/>
  <c r="H27" i="6"/>
  <c r="G30" i="6" l="1"/>
  <c r="G45" i="6"/>
  <c r="G28" i="6"/>
  <c r="G43" i="6"/>
  <c r="F17" i="1"/>
  <c r="F15" i="1"/>
  <c r="I10" i="1"/>
  <c r="I24" i="1" s="1"/>
  <c r="H13" i="1"/>
  <c r="G26" i="6"/>
  <c r="F31" i="6" l="1"/>
  <c r="F46" i="6"/>
  <c r="F29" i="6"/>
  <c r="F44" i="6"/>
  <c r="F27" i="6"/>
  <c r="F42" i="6"/>
  <c r="I14" i="1"/>
  <c r="I28" i="1" s="1"/>
  <c r="H44" i="1" s="1"/>
  <c r="I12" i="1"/>
  <c r="I26" i="1" s="1"/>
  <c r="H42" i="1" s="1"/>
  <c r="G16" i="1"/>
  <c r="H17" i="1" s="1"/>
  <c r="I18" i="1" s="1"/>
  <c r="I32" i="1" s="1"/>
  <c r="G18" i="1"/>
  <c r="H19" i="1" s="1"/>
  <c r="I20" i="1" s="1"/>
  <c r="I34" i="1" s="1"/>
  <c r="H40" i="1" l="1"/>
  <c r="E28" i="6"/>
  <c r="E43" i="6"/>
  <c r="E30" i="6"/>
  <c r="E45" i="6"/>
  <c r="H48" i="1"/>
  <c r="H46" i="1"/>
  <c r="H31" i="1"/>
  <c r="H27" i="1"/>
  <c r="H33" i="1"/>
  <c r="H29" i="1"/>
  <c r="H25" i="1"/>
  <c r="G43" i="1" l="1"/>
  <c r="G47" i="1"/>
  <c r="G41" i="1"/>
  <c r="G45" i="1"/>
  <c r="D29" i="6"/>
  <c r="D44" i="6"/>
  <c r="G30" i="1"/>
  <c r="G26" i="1"/>
  <c r="G32" i="1"/>
  <c r="G28" i="1"/>
  <c r="F44" i="1" l="1"/>
  <c r="F42" i="1"/>
  <c r="F46" i="1"/>
  <c r="F31" i="1"/>
  <c r="F29" i="1"/>
  <c r="F27" i="1"/>
  <c r="E43" i="1" s="1"/>
  <c r="E45" i="1" l="1"/>
  <c r="E30" i="1"/>
  <c r="E28" i="1"/>
  <c r="D44" i="1" l="1"/>
  <c r="G22" i="7" l="1"/>
  <c r="G24" i="7"/>
  <c r="G20" i="7"/>
  <c r="G21" i="7"/>
  <c r="G23" i="7"/>
  <c r="G25" i="8"/>
  <c r="G23" i="8"/>
  <c r="G24" i="8"/>
  <c r="G21" i="8"/>
  <c r="G22" i="8"/>
</calcChain>
</file>

<file path=xl/sharedStrings.xml><?xml version="1.0" encoding="utf-8"?>
<sst xmlns="http://schemas.openxmlformats.org/spreadsheetml/2006/main" count="105" uniqueCount="48">
  <si>
    <t>Parameters</t>
  </si>
  <si>
    <t>Maturity: T</t>
  </si>
  <si>
    <t xml:space="preserve">Strike: K </t>
  </si>
  <si>
    <t>Interest Rate: rf</t>
  </si>
  <si>
    <t>Number of periods: n</t>
  </si>
  <si>
    <t xml:space="preserve">delta (t): </t>
  </si>
  <si>
    <t>Stock Price (S)</t>
  </si>
  <si>
    <t>Up Factor(u)</t>
  </si>
  <si>
    <t>Down Factor(d)</t>
  </si>
  <si>
    <t xml:space="preserve">Volatility(Sigma): </t>
  </si>
  <si>
    <t>5-Step Binomial Tree</t>
  </si>
  <si>
    <t>probability (p)</t>
  </si>
  <si>
    <t>1-p</t>
  </si>
  <si>
    <t xml:space="preserve">Option Call Price( PayOff ) </t>
  </si>
  <si>
    <t>Binomial Trees Model For an American Call Option</t>
  </si>
  <si>
    <t xml:space="preserve">dividend yield (q) </t>
  </si>
  <si>
    <t xml:space="preserve">Black Scholes Model For European Call Option </t>
  </si>
  <si>
    <t xml:space="preserve">d1 </t>
  </si>
  <si>
    <t xml:space="preserve">d2 </t>
  </si>
  <si>
    <t>European Call Option Price</t>
  </si>
  <si>
    <t xml:space="preserve">Number of trading days until maturity </t>
  </si>
  <si>
    <t>Total trading days in a year</t>
  </si>
  <si>
    <t>Date</t>
  </si>
  <si>
    <t xml:space="preserve">Stock Price </t>
  </si>
  <si>
    <t>Stock Returns</t>
  </si>
  <si>
    <t>(ui-ubar)</t>
  </si>
  <si>
    <t>(ui-ubar)^2</t>
  </si>
  <si>
    <t>sample standard deviation</t>
  </si>
  <si>
    <t>Calculation of historical volatility</t>
  </si>
  <si>
    <t>Calculation of deltas</t>
  </si>
  <si>
    <t>Price from Yahoo</t>
  </si>
  <si>
    <t>Call Option Premium</t>
  </si>
  <si>
    <t>tau</t>
  </si>
  <si>
    <t>Option Delta</t>
  </si>
  <si>
    <t xml:space="preserve">Strike Price, K </t>
  </si>
  <si>
    <t xml:space="preserve">Volatility, </t>
  </si>
  <si>
    <t xml:space="preserve">Risk Free Rate </t>
  </si>
  <si>
    <t xml:space="preserve">Per/Year </t>
  </si>
  <si>
    <t xml:space="preserve"># Calls Longed </t>
  </si>
  <si>
    <t># Option units</t>
  </si>
  <si>
    <t>Option Price</t>
  </si>
  <si>
    <t>Change in Option Value</t>
  </si>
  <si>
    <t>Change in Stock Value</t>
  </si>
  <si>
    <t>Net Change</t>
  </si>
  <si>
    <t>Constraint</t>
  </si>
  <si>
    <t xml:space="preserve">delta time (dt): </t>
  </si>
  <si>
    <t>Number of Stock Shorted</t>
  </si>
  <si>
    <t xml:space="preserve">standard deviation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</si>
</sst>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
  </numFmts>
  <fonts count="3" x14ac:knownFonts="1">
    <font>
      <sz val="12"/>
      <color theme="1"/>
      <name val="Calibri"/>
      <family val="2"/>
      <scheme val="minor"/>
    </font>
    <font>
      <b/>
      <sz val="12"/>
      <color theme="1"/>
      <name val="Calibri"/>
      <family val="2"/>
      <scheme val="minor"/>
    </font>
    <font>
      <sz val="12"/>
      <color theme="1"/>
      <name val="Calibri"/>
      <family val="2"/>
      <scheme val="minor"/>
    </font>
  </fonts>
  <fills count="10">
    <fill>
      <patternFill patternType="none"/>
    </fill>
    <fill>
      <patternFill patternType="gray125"/>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rgb="FFFFC000"/>
        <bgColor indexed="64"/>
      </patternFill>
    </fill>
  </fills>
  <borders count="2">
    <border>
      <left/>
      <right/>
      <top/>
      <bottom/>
      <diagonal/>
    </border>
    <border>
      <left/>
      <right/>
      <top/>
      <bottom style="thin">
        <color indexed="64"/>
      </bottom>
      <diagonal/>
    </border>
  </borders>
  <cellStyleXfs count="2">
    <xf numFmtId="0" fontId="0" fillId="0" borderId="0"/>
    <xf numFmtId="9" fontId="2" fillId="0" borderId="0" applyFont="0" applyFill="0" applyBorder="0" applyAlignment="0" applyProtection="0"/>
  </cellStyleXfs>
  <cellXfs count="44">
    <xf numFmtId="0" fontId="0" fillId="0" borderId="0" xfId="0"/>
    <xf numFmtId="2" fontId="0" fillId="0" borderId="0" xfId="0" applyNumberFormat="1"/>
    <xf numFmtId="0" fontId="0" fillId="2" borderId="0" xfId="0" applyFill="1"/>
    <xf numFmtId="2" fontId="0" fillId="2" borderId="0" xfId="0" applyNumberFormat="1" applyFill="1"/>
    <xf numFmtId="10" fontId="0" fillId="0" borderId="0" xfId="0" applyNumberFormat="1"/>
    <xf numFmtId="0" fontId="0" fillId="3" borderId="0" xfId="0" applyFill="1"/>
    <xf numFmtId="0" fontId="0" fillId="2" borderId="1" xfId="0" applyFill="1" applyBorder="1"/>
    <xf numFmtId="14" fontId="0" fillId="0" borderId="0" xfId="0" applyNumberFormat="1"/>
    <xf numFmtId="0" fontId="0" fillId="0" borderId="0" xfId="0" applyAlignment="1"/>
    <xf numFmtId="0" fontId="0" fillId="0" borderId="0" xfId="0" applyAlignment="1">
      <alignment horizontal="left" wrapText="1"/>
    </xf>
    <xf numFmtId="14" fontId="0" fillId="0" borderId="0" xfId="0" applyNumberFormat="1" applyAlignment="1">
      <alignment horizontal="left" wrapText="1"/>
    </xf>
    <xf numFmtId="0" fontId="1" fillId="0" borderId="0" xfId="0" applyFont="1"/>
    <xf numFmtId="14" fontId="1" fillId="0" borderId="0" xfId="0" applyNumberFormat="1" applyFont="1"/>
    <xf numFmtId="10" fontId="0" fillId="0" borderId="0" xfId="1" applyNumberFormat="1" applyFont="1"/>
    <xf numFmtId="0" fontId="1" fillId="0" borderId="0" xfId="0" applyFont="1" applyAlignment="1">
      <alignment horizontal="center" wrapText="1"/>
    </xf>
    <xf numFmtId="14" fontId="0" fillId="0" borderId="0" xfId="0" applyNumberFormat="1" applyAlignment="1">
      <alignment horizontal="left"/>
    </xf>
    <xf numFmtId="0" fontId="1" fillId="0" borderId="0" xfId="0" applyFont="1" applyAlignment="1"/>
    <xf numFmtId="0" fontId="1" fillId="0" borderId="0" xfId="0" applyFont="1" applyAlignment="1">
      <alignment horizontal="center" wrapText="1"/>
    </xf>
    <xf numFmtId="0" fontId="0" fillId="0" borderId="0" xfId="0" applyFill="1"/>
    <xf numFmtId="14" fontId="0" fillId="0" borderId="0" xfId="0" applyNumberFormat="1" applyFill="1"/>
    <xf numFmtId="0" fontId="0" fillId="5" borderId="0" xfId="0" applyFill="1"/>
    <xf numFmtId="0" fontId="0" fillId="6" borderId="0" xfId="0" applyFill="1"/>
    <xf numFmtId="10" fontId="0" fillId="6" borderId="0" xfId="0" applyNumberFormat="1" applyFill="1"/>
    <xf numFmtId="164" fontId="0" fillId="5" borderId="0" xfId="0" applyNumberFormat="1" applyFill="1"/>
    <xf numFmtId="2" fontId="0" fillId="5" borderId="0" xfId="0" applyNumberFormat="1" applyFill="1"/>
    <xf numFmtId="0" fontId="0" fillId="5" borderId="1" xfId="0" applyFill="1" applyBorder="1"/>
    <xf numFmtId="2" fontId="0" fillId="5" borderId="0" xfId="1" applyNumberFormat="1" applyFont="1" applyFill="1"/>
    <xf numFmtId="0" fontId="0" fillId="5" borderId="0" xfId="0" applyNumberFormat="1" applyFill="1"/>
    <xf numFmtId="2" fontId="0" fillId="7" borderId="0" xfId="0" applyNumberFormat="1" applyFill="1"/>
    <xf numFmtId="0" fontId="0" fillId="7" borderId="0" xfId="0" applyFill="1"/>
    <xf numFmtId="0" fontId="0" fillId="8" borderId="0" xfId="0" applyFill="1"/>
    <xf numFmtId="10" fontId="0" fillId="9" borderId="0" xfId="0" applyNumberFormat="1" applyFill="1"/>
    <xf numFmtId="10" fontId="0" fillId="7" borderId="0" xfId="0" applyNumberFormat="1" applyFill="1"/>
    <xf numFmtId="0" fontId="1" fillId="0" borderId="0" xfId="0" applyFont="1" applyAlignment="1">
      <alignment wrapText="1"/>
    </xf>
    <xf numFmtId="165" fontId="0" fillId="5" borderId="0" xfId="0" applyNumberFormat="1" applyFill="1"/>
    <xf numFmtId="0" fontId="0" fillId="4" borderId="0" xfId="0" applyFill="1" applyAlignment="1">
      <alignment horizontal="center"/>
    </xf>
    <xf numFmtId="0" fontId="0" fillId="5" borderId="0" xfId="0" applyFill="1" applyAlignment="1">
      <alignment horizontal="center"/>
    </xf>
    <xf numFmtId="0" fontId="1" fillId="5" borderId="0" xfId="0" applyFont="1" applyFill="1" applyAlignment="1">
      <alignment horizontal="center"/>
    </xf>
    <xf numFmtId="0" fontId="1" fillId="3" borderId="0" xfId="0" applyFont="1" applyFill="1" applyAlignment="1">
      <alignment horizontal="center"/>
    </xf>
    <xf numFmtId="0" fontId="0" fillId="3" borderId="0" xfId="0" applyFill="1" applyAlignment="1">
      <alignment horizontal="left" wrapText="1"/>
    </xf>
    <xf numFmtId="0" fontId="0" fillId="3" borderId="0" xfId="0" applyFill="1" applyAlignment="1">
      <alignment horizontal="center" vertical="center"/>
    </xf>
    <xf numFmtId="0" fontId="0" fillId="2" borderId="0" xfId="0" applyFill="1" applyAlignment="1">
      <alignment horizontal="center"/>
    </xf>
    <xf numFmtId="0" fontId="1" fillId="2" borderId="0" xfId="0" applyFont="1" applyFill="1" applyAlignment="1">
      <alignment horizontal="center"/>
    </xf>
    <xf numFmtId="0" fontId="0" fillId="3" borderId="0" xfId="0" applyFill="1" applyAlignment="1">
      <alignment horizontal="left" vertical="center" wrapText="1"/>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266700</xdr:colOff>
      <xdr:row>0</xdr:row>
      <xdr:rowOff>171450</xdr:rowOff>
    </xdr:from>
    <xdr:to>
      <xdr:col>10</xdr:col>
      <xdr:colOff>647700</xdr:colOff>
      <xdr:row>35</xdr:row>
      <xdr:rowOff>180975</xdr:rowOff>
    </xdr:to>
    <xdr:sp macro="" textlink="">
      <xdr:nvSpPr>
        <xdr:cNvPr id="2" name="TextBox 1">
          <a:extLst>
            <a:ext uri="{FF2B5EF4-FFF2-40B4-BE49-F238E27FC236}">
              <a16:creationId xmlns:a16="http://schemas.microsoft.com/office/drawing/2014/main" id="{053F07B4-C432-496B-8372-9D9B28AA7ABF}"/>
            </a:ext>
          </a:extLst>
        </xdr:cNvPr>
        <xdr:cNvSpPr txBox="1"/>
      </xdr:nvSpPr>
      <xdr:spPr>
        <a:xfrm>
          <a:off x="266700" y="171450"/>
          <a:ext cx="7048500" cy="7010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Math 336/ECON</a:t>
          </a:r>
          <a:r>
            <a:rPr lang="en-US" sz="1100" b="1" baseline="0"/>
            <a:t> 390 Group Project 3</a:t>
          </a:r>
          <a:br>
            <a:rPr lang="en-US" sz="1100" b="1"/>
          </a:br>
          <a:r>
            <a:rPr lang="en-US" sz="1100" b="1"/>
            <a:t>Option Hedging</a:t>
          </a:r>
          <a:r>
            <a:rPr lang="en-US" sz="1100" b="1" baseline="0"/>
            <a:t> </a:t>
          </a:r>
          <a:endParaRPr lang="en-US" sz="1100" b="1"/>
        </a:p>
        <a:p>
          <a:endParaRPr lang="en-US" sz="1100"/>
        </a:p>
        <a:p>
          <a:pPr algn="ctr"/>
          <a:r>
            <a:rPr lang="en-US" sz="1100"/>
            <a:t>-Team</a:t>
          </a:r>
          <a:r>
            <a:rPr lang="en-US" sz="1100" baseline="0"/>
            <a:t> 2 </a:t>
          </a:r>
          <a:endParaRPr lang="en-US" sz="1100"/>
        </a:p>
        <a:p>
          <a:r>
            <a:rPr lang="en-US" sz="1100"/>
            <a:t>The</a:t>
          </a:r>
          <a:r>
            <a:rPr lang="en-US" sz="1100" baseline="0"/>
            <a:t> project is about calculation of option prices using bionomial trees model and black-scholes model for European call options and american call options. We have done this project based on Apple Inc.'s stock and option data. The ticker symbol for Apple Inc. is appl and all the relevant information about stock and option has been gathered from Yahoo Finance.</a:t>
          </a:r>
        </a:p>
        <a:p>
          <a:endParaRPr lang="en-US" sz="1100" baseline="0"/>
        </a:p>
        <a:p>
          <a:r>
            <a:rPr lang="en-US" sz="1100" baseline="0"/>
            <a:t>The following steps will help you understand the tabs in this workbook: </a:t>
          </a:r>
        </a:p>
        <a:p>
          <a:r>
            <a:rPr lang="en-US" sz="1100" baseline="0"/>
            <a:t>1) The first tab is about the introduction of the project which is this tab. </a:t>
          </a:r>
        </a:p>
        <a:p>
          <a:r>
            <a:rPr lang="en-US" sz="1100" baseline="0"/>
            <a:t>2) The second tab is about the calculation and collections of the necessary inputs for establishing the pricing models. </a:t>
          </a:r>
        </a:p>
        <a:p>
          <a:r>
            <a:rPr lang="en-US" sz="1100" baseline="0"/>
            <a:t>3) The third tab contains the pricing engines for the bionomial trees model and black-scholes model. </a:t>
          </a:r>
        </a:p>
        <a:p>
          <a:r>
            <a:rPr lang="en-US" sz="1100" baseline="0"/>
            <a:t>4) The fourth tab contains the results of delta hedging for 5 days using the historical data as a basis for the calculation of appropriate inputs. </a:t>
          </a:r>
        </a:p>
        <a:p>
          <a:r>
            <a:rPr lang="en-US" sz="1100" baseline="0"/>
            <a:t>5) The fifth tab is about the calculation of volatility using the pricing engines developed in tab 3 and option prices obtained fom Yahoo Finance. </a:t>
          </a:r>
        </a:p>
        <a:p>
          <a:r>
            <a:rPr lang="en-US" sz="1100" baseline="0"/>
            <a:t>6) The sixth tab is about the calculation of option prices and deltas using the pricing engines and implied volatility from the Yahoo Finance. </a:t>
          </a:r>
        </a:p>
        <a:p>
          <a:r>
            <a:rPr lang="en-US" sz="1100" baseline="0"/>
            <a:t>7) Finally, the seventh tab contains the overall change in positions of stocks and options based on the option delta calculated in the sixth tab. </a:t>
          </a:r>
        </a:p>
        <a:p>
          <a:r>
            <a:rPr lang="en-US" sz="1100" baseline="0"/>
            <a:t>   </a:t>
          </a:r>
        </a:p>
        <a:p>
          <a:r>
            <a:rPr lang="en-US" sz="1100" b="1" baseline="0"/>
            <a:t>Findings:</a:t>
          </a:r>
        </a:p>
        <a:p>
          <a:endParaRPr lang="en-US" sz="1100" b="1" baseline="0"/>
        </a:p>
        <a:p>
          <a:r>
            <a:rPr lang="en-US" sz="1100" b="0" baseline="0"/>
            <a:t>The following table summarizes results for delta hedging for two different approaches. The detailed table can be found in their respective tabs. </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xdr:txBody>
    </xdr:sp>
    <xdr:clientData/>
  </xdr:twoCellAnchor>
  <xdr:twoCellAnchor editAs="oneCell">
    <xdr:from>
      <xdr:col>0</xdr:col>
      <xdr:colOff>419100</xdr:colOff>
      <xdr:row>28</xdr:row>
      <xdr:rowOff>171450</xdr:rowOff>
    </xdr:from>
    <xdr:to>
      <xdr:col>5</xdr:col>
      <xdr:colOff>152400</xdr:colOff>
      <xdr:row>33</xdr:row>
      <xdr:rowOff>179070</xdr:rowOff>
    </xdr:to>
    <xdr:pic>
      <xdr:nvPicPr>
        <xdr:cNvPr id="4" name="Picture 3">
          <a:extLst>
            <a:ext uri="{FF2B5EF4-FFF2-40B4-BE49-F238E27FC236}">
              <a16:creationId xmlns:a16="http://schemas.microsoft.com/office/drawing/2014/main" id="{64DB2990-43B9-4D32-AB64-BA18407CD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5772150"/>
          <a:ext cx="306705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523875</xdr:colOff>
      <xdr:row>28</xdr:row>
      <xdr:rowOff>180975</xdr:rowOff>
    </xdr:from>
    <xdr:to>
      <xdr:col>10</xdr:col>
      <xdr:colOff>255270</xdr:colOff>
      <xdr:row>33</xdr:row>
      <xdr:rowOff>190500</xdr:rowOff>
    </xdr:to>
    <xdr:pic>
      <xdr:nvPicPr>
        <xdr:cNvPr id="5" name="Picture 4">
          <a:extLst>
            <a:ext uri="{FF2B5EF4-FFF2-40B4-BE49-F238E27FC236}">
              <a16:creationId xmlns:a16="http://schemas.microsoft.com/office/drawing/2014/main" id="{7233639C-D29E-4567-9F07-0C484A3A7E7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57625" y="5781675"/>
          <a:ext cx="306705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485775</xdr:colOff>
      <xdr:row>24</xdr:row>
      <xdr:rowOff>133350</xdr:rowOff>
    </xdr:from>
    <xdr:to>
      <xdr:col>4</xdr:col>
      <xdr:colOff>293370</xdr:colOff>
      <xdr:row>27</xdr:row>
      <xdr:rowOff>140970</xdr:rowOff>
    </xdr:to>
    <xdr:pic>
      <xdr:nvPicPr>
        <xdr:cNvPr id="6" name="Picture 5">
          <a:extLst>
            <a:ext uri="{FF2B5EF4-FFF2-40B4-BE49-F238E27FC236}">
              <a16:creationId xmlns:a16="http://schemas.microsoft.com/office/drawing/2014/main" id="{39567FBC-0C78-4C2C-92E7-2CB1FA22F6F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5775" y="4933950"/>
          <a:ext cx="2476500" cy="609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209550</xdr:colOff>
      <xdr:row>23</xdr:row>
      <xdr:rowOff>133350</xdr:rowOff>
    </xdr:from>
    <xdr:to>
      <xdr:col>10</xdr:col>
      <xdr:colOff>19050</xdr:colOff>
      <xdr:row>27</xdr:row>
      <xdr:rowOff>142875</xdr:rowOff>
    </xdr:to>
    <xdr:pic>
      <xdr:nvPicPr>
        <xdr:cNvPr id="7" name="Picture 6">
          <a:extLst>
            <a:ext uri="{FF2B5EF4-FFF2-40B4-BE49-F238E27FC236}">
              <a16:creationId xmlns:a16="http://schemas.microsoft.com/office/drawing/2014/main" id="{35F18296-B3F8-45F2-A04F-2BD168BD686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210050" y="4733925"/>
          <a:ext cx="2476500" cy="80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106680</xdr:colOff>
      <xdr:row>0</xdr:row>
      <xdr:rowOff>99060</xdr:rowOff>
    </xdr:from>
    <xdr:to>
      <xdr:col>11</xdr:col>
      <xdr:colOff>22860</xdr:colOff>
      <xdr:row>6</xdr:row>
      <xdr:rowOff>137160</xdr:rowOff>
    </xdr:to>
    <xdr:sp macro="" textlink="">
      <xdr:nvSpPr>
        <xdr:cNvPr id="2" name="TextBox 1">
          <a:extLst>
            <a:ext uri="{FF2B5EF4-FFF2-40B4-BE49-F238E27FC236}">
              <a16:creationId xmlns:a16="http://schemas.microsoft.com/office/drawing/2014/main" id="{AE9CBFA6-3CE2-41F4-B115-5AB433CBD5AD}"/>
            </a:ext>
          </a:extLst>
        </xdr:cNvPr>
        <xdr:cNvSpPr txBox="1"/>
      </xdr:nvSpPr>
      <xdr:spPr>
        <a:xfrm>
          <a:off x="106680" y="99060"/>
          <a:ext cx="9532620" cy="8305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Summary:</a:t>
          </a:r>
        </a:p>
        <a:p>
          <a:r>
            <a:rPr lang="en-US" sz="1100" b="0"/>
            <a:t>This</a:t>
          </a:r>
          <a:r>
            <a:rPr lang="en-US" sz="1100" b="0" baseline="0"/>
            <a:t> tab contains all information collected for appropriate inputs for pricing of the options. The historical stock price data is collected for the past 20 days from 11/01/2021 to 11/29/2021 using Yahoo Finance server. The stock returns were calculated and then the returns were used to calculate the sample standard deviation which was used to calculate the volatility. The data for stock price, strike price, dividend yield were collected from Yahoo Finance. The number of trading days until maturity were counted manually using a business calendar. The risk-free interest rate is same as the 1-year treasury bill which was collected from the treasury.gov. All the calculations are highlighted in orange, and the data collected from online sources are highlighted in blue. </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160020</xdr:colOff>
      <xdr:row>0</xdr:row>
      <xdr:rowOff>45720</xdr:rowOff>
    </xdr:from>
    <xdr:to>
      <xdr:col>13</xdr:col>
      <xdr:colOff>624840</xdr:colOff>
      <xdr:row>5</xdr:row>
      <xdr:rowOff>60960</xdr:rowOff>
    </xdr:to>
    <xdr:sp macro="" textlink="">
      <xdr:nvSpPr>
        <xdr:cNvPr id="2" name="TextBox 1">
          <a:extLst>
            <a:ext uri="{FF2B5EF4-FFF2-40B4-BE49-F238E27FC236}">
              <a16:creationId xmlns:a16="http://schemas.microsoft.com/office/drawing/2014/main" id="{1A137192-2170-4238-A454-BF410C36ABF1}"/>
            </a:ext>
          </a:extLst>
        </xdr:cNvPr>
        <xdr:cNvSpPr txBox="1"/>
      </xdr:nvSpPr>
      <xdr:spPr>
        <a:xfrm>
          <a:off x="160020" y="45720"/>
          <a:ext cx="12169140" cy="10058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Summary:</a:t>
          </a:r>
          <a:r>
            <a:rPr lang="en-US" sz="1100" b="1" baseline="0"/>
            <a:t> </a:t>
          </a:r>
        </a:p>
        <a:p>
          <a:r>
            <a:rPr lang="en-US" sz="1100"/>
            <a:t>This</a:t>
          </a:r>
          <a:r>
            <a:rPr lang="en-US" sz="1100" baseline="0"/>
            <a:t> tab contains the pricing engines of options using Binomial Trees model for American call option and Black-Scholes Model for European Call Option. The parameters on the left side were referenced from the previous tab. Using these parmeters, up factor, down factors, and probability of stock price going up and down where calculated. The bionomial pricing engine is highlighted in orange. There are three parts to it. The first part is prediction of stock prices in each step depending on the up factor and down factor. The second part is the option premiums calculated using option payoff function. As you scroll down, the third part is the option deltas. The black scholes model is highlighted in green. The last row of the model gives us the price for the European Call Option.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22860</xdr:colOff>
      <xdr:row>0</xdr:row>
      <xdr:rowOff>106680</xdr:rowOff>
    </xdr:from>
    <xdr:to>
      <xdr:col>7</xdr:col>
      <xdr:colOff>800100</xdr:colOff>
      <xdr:row>8</xdr:row>
      <xdr:rowOff>0</xdr:rowOff>
    </xdr:to>
    <xdr:sp macro="" textlink="">
      <xdr:nvSpPr>
        <xdr:cNvPr id="2" name="TextBox 1">
          <a:extLst>
            <a:ext uri="{FF2B5EF4-FFF2-40B4-BE49-F238E27FC236}">
              <a16:creationId xmlns:a16="http://schemas.microsoft.com/office/drawing/2014/main" id="{213122B9-81E9-46D3-9C5A-D99BD754B5F7}"/>
            </a:ext>
          </a:extLst>
        </xdr:cNvPr>
        <xdr:cNvSpPr txBox="1"/>
      </xdr:nvSpPr>
      <xdr:spPr>
        <a:xfrm>
          <a:off x="22860" y="106680"/>
          <a:ext cx="9121140" cy="14782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Summary:</a:t>
          </a:r>
          <a:r>
            <a:rPr lang="en-US" sz="1100" b="1" baseline="0"/>
            <a:t>  (Start date: 11/30/2021 and End date: 12/07/2021) </a:t>
          </a:r>
        </a:p>
        <a:p>
          <a:r>
            <a:rPr lang="en-US" sz="1100" b="0" baseline="0"/>
            <a:t>This tab shows the overall position of our delta hedging produced using the historical data. </a:t>
          </a:r>
        </a:p>
        <a:p>
          <a:r>
            <a:rPr lang="en-US" sz="1100" b="1" baseline="0"/>
            <a:t>Color codes:</a:t>
          </a:r>
          <a:r>
            <a:rPr lang="en-US" sz="1100" b="0" baseline="0"/>
            <a:t> blue for data collected from Yahoo Finance, orange for calculated data, non-highlighted data for references from previous tab.</a:t>
          </a:r>
        </a:p>
        <a:p>
          <a:r>
            <a:rPr lang="en-US" sz="1100" b="0" baseline="0"/>
            <a:t> </a:t>
          </a:r>
        </a:p>
        <a:p>
          <a:r>
            <a:rPr lang="en-US" sz="1100" b="0" baseline="0"/>
            <a:t>We decide to buy 10 calls which is equivalent to 1000 stocks. The number of stocks to be shorted was calculated as a product of option delta and the number of options longed. The change in stock value is equal to the change in stock price multiplied by the number of shorted shares. This number is taken in negative because we are in short position. Similary, the change in option value is equal to the change in option premium multiplied by the number of options longed. The net change is equal to the sum of the change in stock value and change in option value. </a:t>
          </a:r>
        </a:p>
        <a:p>
          <a:endParaRPr lang="en-US" sz="1100" b="0" baseline="0"/>
        </a:p>
        <a:p>
          <a:r>
            <a:rPr lang="en-US" sz="1100" b="0" baseline="0"/>
            <a:t>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160020</xdr:colOff>
      <xdr:row>0</xdr:row>
      <xdr:rowOff>45720</xdr:rowOff>
    </xdr:from>
    <xdr:to>
      <xdr:col>6</xdr:col>
      <xdr:colOff>624840</xdr:colOff>
      <xdr:row>7</xdr:row>
      <xdr:rowOff>60960</xdr:rowOff>
    </xdr:to>
    <xdr:sp macro="" textlink="">
      <xdr:nvSpPr>
        <xdr:cNvPr id="2" name="TextBox 1">
          <a:extLst>
            <a:ext uri="{FF2B5EF4-FFF2-40B4-BE49-F238E27FC236}">
              <a16:creationId xmlns:a16="http://schemas.microsoft.com/office/drawing/2014/main" id="{86149564-F60A-40F3-9AF1-5D2EA7993A9A}"/>
            </a:ext>
          </a:extLst>
        </xdr:cNvPr>
        <xdr:cNvSpPr txBox="1"/>
      </xdr:nvSpPr>
      <xdr:spPr>
        <a:xfrm>
          <a:off x="160020" y="45720"/>
          <a:ext cx="12169140" cy="10058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Summary:</a:t>
          </a:r>
          <a:r>
            <a:rPr lang="en-US" sz="1100" b="1" baseline="0"/>
            <a:t> </a:t>
          </a:r>
        </a:p>
        <a:p>
          <a:r>
            <a:rPr lang="en-US" sz="1100"/>
            <a:t>This tab shows the</a:t>
          </a:r>
          <a:r>
            <a:rPr lang="en-US" sz="1100" baseline="0"/>
            <a:t> calculation of implied volatility using Excel Solver and market price of option obtained from Yahoo Finance for Black-Scholes model. The result for volatility is highlighted in yellow. The black scholes model is highlighted in green. The price from Yahoo Finance is highlighted in Blue, and the constraint for solver is highlighted in orange. All other non-highlighted cells are referenced from the previous tabs. The solver was set up such that the constraint, which is the difference between the price from Yahoo and price from Black Scholes model, is equal to zero by changing the sigma which is volatility. The implied volatility from Yahoo Finance is 28.36%.</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160020</xdr:colOff>
      <xdr:row>0</xdr:row>
      <xdr:rowOff>45720</xdr:rowOff>
    </xdr:from>
    <xdr:to>
      <xdr:col>11</xdr:col>
      <xdr:colOff>662940</xdr:colOff>
      <xdr:row>5</xdr:row>
      <xdr:rowOff>60960</xdr:rowOff>
    </xdr:to>
    <xdr:sp macro="" textlink="">
      <xdr:nvSpPr>
        <xdr:cNvPr id="2" name="TextBox 1">
          <a:extLst>
            <a:ext uri="{FF2B5EF4-FFF2-40B4-BE49-F238E27FC236}">
              <a16:creationId xmlns:a16="http://schemas.microsoft.com/office/drawing/2014/main" id="{46881808-A91B-4435-B9FA-9A21EB139F7B}"/>
            </a:ext>
          </a:extLst>
        </xdr:cNvPr>
        <xdr:cNvSpPr txBox="1"/>
      </xdr:nvSpPr>
      <xdr:spPr>
        <a:xfrm>
          <a:off x="160020" y="45720"/>
          <a:ext cx="10500360" cy="10058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Summary:</a:t>
          </a:r>
          <a:r>
            <a:rPr lang="en-US" sz="1100" b="1" baseline="0"/>
            <a:t> </a:t>
          </a:r>
        </a:p>
        <a:p>
          <a:r>
            <a:rPr lang="en-US" sz="1100"/>
            <a:t>This tab shows the calculation</a:t>
          </a:r>
          <a:r>
            <a:rPr lang="en-US" sz="1100" baseline="0"/>
            <a:t> of option prices, and deltas using the implied volatility from the Yahoo Finance instead of the volatility calculated using the historical data. The parameters are on the left side of the tab where the non-highlighted cells are the referenced cells from the previous tabs. The blue cell contains the implied volatitility obtained from the yahoo finance. The other factors and probability were calculated using the new voltalility and thus are highlighted in orange. The Bionomial Tree model follows same structure as before. The black scholes model gives us the european call option price. </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22860</xdr:colOff>
      <xdr:row>0</xdr:row>
      <xdr:rowOff>106680</xdr:rowOff>
    </xdr:from>
    <xdr:to>
      <xdr:col>11</xdr:col>
      <xdr:colOff>457200</xdr:colOff>
      <xdr:row>8</xdr:row>
      <xdr:rowOff>114300</xdr:rowOff>
    </xdr:to>
    <xdr:sp macro="" textlink="">
      <xdr:nvSpPr>
        <xdr:cNvPr id="2" name="TextBox 1">
          <a:extLst>
            <a:ext uri="{FF2B5EF4-FFF2-40B4-BE49-F238E27FC236}">
              <a16:creationId xmlns:a16="http://schemas.microsoft.com/office/drawing/2014/main" id="{38B83FA5-BBEB-4330-A3BD-90004D685BA0}"/>
            </a:ext>
          </a:extLst>
        </xdr:cNvPr>
        <xdr:cNvSpPr txBox="1"/>
      </xdr:nvSpPr>
      <xdr:spPr>
        <a:xfrm>
          <a:off x="22860" y="106680"/>
          <a:ext cx="9738360" cy="15925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Summary:</a:t>
          </a:r>
          <a:r>
            <a:rPr lang="en-US" sz="1100" b="1" baseline="0">
              <a:solidFill>
                <a:schemeClr val="dk1"/>
              </a:solidFill>
              <a:effectLst/>
              <a:latin typeface="+mn-lt"/>
              <a:ea typeface="+mn-ea"/>
              <a:cs typeface="+mn-cs"/>
            </a:rPr>
            <a:t>  (Start date: 11/30/2021 and End date: 12/07/2021) </a:t>
          </a:r>
          <a:endParaRPr lang="en-US">
            <a:effectLst/>
          </a:endParaRPr>
        </a:p>
        <a:p>
          <a:r>
            <a:rPr lang="en-US" sz="1100" b="0" baseline="0">
              <a:solidFill>
                <a:schemeClr val="dk1"/>
              </a:solidFill>
              <a:effectLst/>
              <a:latin typeface="+mn-lt"/>
              <a:ea typeface="+mn-ea"/>
              <a:cs typeface="+mn-cs"/>
            </a:rPr>
            <a:t>This tab shows the overall position of our delta hedging produced using the implied volatility from the yahoo finance instead of volatility calculated from historical data. </a:t>
          </a:r>
          <a:endParaRPr lang="en-US">
            <a:effectLst/>
          </a:endParaRPr>
        </a:p>
        <a:p>
          <a:r>
            <a:rPr lang="en-US" sz="1100" b="1" baseline="0">
              <a:solidFill>
                <a:schemeClr val="dk1"/>
              </a:solidFill>
              <a:effectLst/>
              <a:latin typeface="+mn-lt"/>
              <a:ea typeface="+mn-ea"/>
              <a:cs typeface="+mn-cs"/>
            </a:rPr>
            <a:t>Color codes:</a:t>
          </a:r>
          <a:r>
            <a:rPr lang="en-US" sz="1100" b="0" baseline="0">
              <a:solidFill>
                <a:schemeClr val="dk1"/>
              </a:solidFill>
              <a:effectLst/>
              <a:latin typeface="+mn-lt"/>
              <a:ea typeface="+mn-ea"/>
              <a:cs typeface="+mn-cs"/>
            </a:rPr>
            <a:t> blue for data collected from Yahoo Finance, orange for calculated data, non-highlighted data for references from previous tab.</a:t>
          </a:r>
          <a:endParaRPr lang="en-US">
            <a:effectLst/>
          </a:endParaRPr>
        </a:p>
        <a:p>
          <a:r>
            <a:rPr lang="en-US" sz="1100" b="0" baseline="0">
              <a:solidFill>
                <a:schemeClr val="dk1"/>
              </a:solidFill>
              <a:effectLst/>
              <a:latin typeface="+mn-lt"/>
              <a:ea typeface="+mn-ea"/>
              <a:cs typeface="+mn-cs"/>
            </a:rPr>
            <a:t> </a:t>
          </a:r>
          <a:endParaRPr lang="en-US">
            <a:effectLst/>
          </a:endParaRPr>
        </a:p>
        <a:p>
          <a:r>
            <a:rPr lang="en-US" sz="1100" b="0" baseline="0">
              <a:solidFill>
                <a:schemeClr val="dk1"/>
              </a:solidFill>
              <a:effectLst/>
              <a:latin typeface="+mn-lt"/>
              <a:ea typeface="+mn-ea"/>
              <a:cs typeface="+mn-cs"/>
            </a:rPr>
            <a:t>We decide to buy 10 calls which is equivalent to 1000 stocks. The number of stocks to be shorted was calculated as a product of option delta and the number of options longed. The change in stock value is equal to the change in stock price multiplied by the number of shorted shares. This number is taken as negative because we are in short position. Similary, the change in option value is equal to the change in option premium multiplied by the number of options longed. The net change is equal to the sum of the change in stock value and change in option value. </a:t>
          </a:r>
          <a:endParaRPr lang="en-US">
            <a:effectLst/>
          </a:endParaRPr>
        </a:p>
        <a:p>
          <a:endParaRPr lang="en-US" sz="11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F6F2C-E875-4071-97CE-AC431FABBF0B}">
  <dimension ref="A1"/>
  <sheetViews>
    <sheetView workbookViewId="0">
      <selection activeCell="L22" sqref="L22"/>
    </sheetView>
  </sheetViews>
  <sheetFormatPr baseColWidth="10" defaultColWidth="8.83203125" defaultRowHeight="16" x14ac:dyDescent="0.2"/>
  <cols>
    <col min="14" max="15" width="10.5" bestFit="1" customWidth="1"/>
    <col min="17" max="17" width="10.6640625" bestFit="1"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8C2E8-5684-452F-AC93-019CA2B1E4D2}">
  <dimension ref="A8:H3007"/>
  <sheetViews>
    <sheetView topLeftCell="A28" workbookViewId="0">
      <selection activeCell="B15" sqref="B15"/>
    </sheetView>
  </sheetViews>
  <sheetFormatPr baseColWidth="10" defaultColWidth="8.83203125" defaultRowHeight="16" x14ac:dyDescent="0.2"/>
  <cols>
    <col min="1" max="1" width="33.83203125" bestFit="1" customWidth="1"/>
    <col min="4" max="4" width="10.5" bestFit="1" customWidth="1"/>
    <col min="5" max="5" width="10.83203125" bestFit="1" customWidth="1"/>
    <col min="6" max="6" width="12.33203125" bestFit="1" customWidth="1"/>
    <col min="8" max="8" width="11.83203125" bestFit="1" customWidth="1"/>
  </cols>
  <sheetData>
    <row r="8" spans="1:8" x14ac:dyDescent="0.2">
      <c r="D8" s="35" t="s">
        <v>28</v>
      </c>
      <c r="E8" s="35"/>
      <c r="F8" s="35"/>
      <c r="G8" s="35"/>
      <c r="H8" s="35"/>
    </row>
    <row r="9" spans="1:8" x14ac:dyDescent="0.2">
      <c r="A9" t="s">
        <v>6</v>
      </c>
      <c r="B9" s="21">
        <v>166.03</v>
      </c>
      <c r="D9" t="s">
        <v>22</v>
      </c>
      <c r="E9" t="s">
        <v>23</v>
      </c>
      <c r="F9" s="20" t="s">
        <v>24</v>
      </c>
      <c r="G9" s="20" t="s">
        <v>25</v>
      </c>
      <c r="H9" s="20" t="s">
        <v>26</v>
      </c>
    </row>
    <row r="10" spans="1:8" x14ac:dyDescent="0.2">
      <c r="A10" t="s">
        <v>20</v>
      </c>
      <c r="B10" s="21">
        <v>36</v>
      </c>
      <c r="D10" s="7">
        <v>44529</v>
      </c>
      <c r="E10">
        <v>160.240005</v>
      </c>
      <c r="F10" s="20">
        <f>LN(E10/E11)</f>
        <v>2.1637853922105914E-2</v>
      </c>
      <c r="G10" s="20">
        <f>F10-AVERAGE($F$10:$F$28)</f>
        <v>1.7719260453346465E-2</v>
      </c>
      <c r="H10" s="20">
        <f>G10^2</f>
        <v>3.13972191013528E-4</v>
      </c>
    </row>
    <row r="11" spans="1:8" x14ac:dyDescent="0.2">
      <c r="A11" t="s">
        <v>21</v>
      </c>
      <c r="B11" s="21">
        <v>252</v>
      </c>
      <c r="D11" s="7">
        <v>44526</v>
      </c>
      <c r="E11">
        <v>156.80999800000001</v>
      </c>
      <c r="F11" s="20">
        <f t="shared" ref="F11:F28" si="0">LN(E11/E12)</f>
        <v>-3.2191039969569853E-2</v>
      </c>
      <c r="G11" s="20">
        <f t="shared" ref="G11:G28" si="1">F11-AVERAGE($F$10:$F$28)</f>
        <v>-3.6109633438329305E-2</v>
      </c>
      <c r="H11" s="20">
        <f t="shared" ref="H11:H28" si="2">G11^2</f>
        <v>1.30390562705051E-3</v>
      </c>
    </row>
    <row r="12" spans="1:8" x14ac:dyDescent="0.2">
      <c r="A12" t="s">
        <v>1</v>
      </c>
      <c r="B12" s="20">
        <f>B10/B11</f>
        <v>0.14285714285714285</v>
      </c>
      <c r="D12" s="7">
        <v>44524</v>
      </c>
      <c r="E12">
        <v>161.94000199999999</v>
      </c>
      <c r="F12" s="20">
        <f t="shared" si="0"/>
        <v>3.2781720414213934E-3</v>
      </c>
      <c r="G12" s="20">
        <f t="shared" si="1"/>
        <v>-6.4042142733805596E-4</v>
      </c>
      <c r="H12" s="20">
        <f t="shared" si="2"/>
        <v>4.1013960459371291E-7</v>
      </c>
    </row>
    <row r="13" spans="1:8" x14ac:dyDescent="0.2">
      <c r="A13" t="s">
        <v>2</v>
      </c>
      <c r="B13" s="21">
        <v>170</v>
      </c>
      <c r="D13" s="7">
        <v>44523</v>
      </c>
      <c r="E13">
        <v>161.41000399999999</v>
      </c>
      <c r="F13" s="20">
        <f>LN(E13/E14)</f>
        <v>2.4191308533309747E-3</v>
      </c>
      <c r="G13" s="20">
        <f t="shared" si="1"/>
        <v>-1.4994626154284747E-3</v>
      </c>
      <c r="H13" s="20">
        <f t="shared" si="2"/>
        <v>2.2483881350676019E-6</v>
      </c>
    </row>
    <row r="14" spans="1:8" x14ac:dyDescent="0.2">
      <c r="A14" t="s">
        <v>27</v>
      </c>
      <c r="B14" s="20">
        <f>SQRT(SUM(H10:H28)/(COUNT(H10:H28)-1))</f>
        <v>1.3762175748354009E-2</v>
      </c>
      <c r="D14" s="7">
        <v>44522</v>
      </c>
      <c r="E14">
        <v>161.020004</v>
      </c>
      <c r="F14" s="20">
        <f t="shared" si="0"/>
        <v>2.9231664921784395E-3</v>
      </c>
      <c r="G14" s="20">
        <f t="shared" si="1"/>
        <v>-9.9542697658100985E-4</v>
      </c>
      <c r="H14" s="20">
        <f t="shared" si="2"/>
        <v>9.908748657052103E-7</v>
      </c>
    </row>
    <row r="15" spans="1:8" x14ac:dyDescent="0.2">
      <c r="A15" t="s">
        <v>32</v>
      </c>
      <c r="B15" s="20">
        <f>1/B11</f>
        <v>3.968253968253968E-3</v>
      </c>
      <c r="D15" s="7">
        <v>44519</v>
      </c>
      <c r="E15">
        <v>160.550003</v>
      </c>
      <c r="F15" s="20">
        <f t="shared" si="0"/>
        <v>1.6833561349284102E-2</v>
      </c>
      <c r="G15" s="20">
        <f t="shared" si="1"/>
        <v>1.2914967880524653E-2</v>
      </c>
      <c r="H15" s="20">
        <f t="shared" si="2"/>
        <v>1.6679639535498343E-4</v>
      </c>
    </row>
    <row r="16" spans="1:8" x14ac:dyDescent="0.2">
      <c r="A16" t="s">
        <v>9</v>
      </c>
      <c r="B16" s="23">
        <f>B14/SQRT(B15)</f>
        <v>0.21846776717585359</v>
      </c>
      <c r="D16" s="7">
        <v>44518</v>
      </c>
      <c r="E16">
        <v>157.86999499999999</v>
      </c>
      <c r="F16" s="20">
        <f t="shared" si="0"/>
        <v>2.8136426971278241E-2</v>
      </c>
      <c r="G16" s="20">
        <f t="shared" si="1"/>
        <v>2.4217833502518792E-2</v>
      </c>
      <c r="H16" s="20">
        <f t="shared" si="2"/>
        <v>5.8650345955572165E-4</v>
      </c>
    </row>
    <row r="17" spans="1:8" x14ac:dyDescent="0.2">
      <c r="A17" t="s">
        <v>3</v>
      </c>
      <c r="B17" s="22">
        <v>2.3999999999999998E-3</v>
      </c>
      <c r="D17" s="7">
        <v>44517</v>
      </c>
      <c r="E17">
        <v>153.490005</v>
      </c>
      <c r="F17" s="20">
        <f t="shared" si="0"/>
        <v>1.6355614085803927E-2</v>
      </c>
      <c r="G17" s="20">
        <f t="shared" si="1"/>
        <v>1.2437020617044478E-2</v>
      </c>
      <c r="H17" s="20">
        <f t="shared" si="2"/>
        <v>1.5467948182878942E-4</v>
      </c>
    </row>
    <row r="18" spans="1:8" x14ac:dyDescent="0.2">
      <c r="A18" t="s">
        <v>4</v>
      </c>
      <c r="B18">
        <v>5</v>
      </c>
      <c r="D18" s="7">
        <v>44516</v>
      </c>
      <c r="E18">
        <v>151</v>
      </c>
      <c r="F18" s="20">
        <f t="shared" si="0"/>
        <v>6.6445427186685108E-3</v>
      </c>
      <c r="G18" s="20">
        <f t="shared" si="1"/>
        <v>2.7259492499090614E-3</v>
      </c>
      <c r="H18" s="20">
        <f t="shared" si="2"/>
        <v>7.4307993130797748E-6</v>
      </c>
    </row>
    <row r="19" spans="1:8" x14ac:dyDescent="0.2">
      <c r="A19" t="s">
        <v>45</v>
      </c>
      <c r="B19" s="20">
        <f>B12/B18</f>
        <v>2.8571428571428571E-2</v>
      </c>
      <c r="D19" s="7">
        <v>44515</v>
      </c>
      <c r="E19">
        <v>150</v>
      </c>
      <c r="F19" s="20">
        <f t="shared" si="0"/>
        <v>6.6635553432446424E-5</v>
      </c>
      <c r="G19" s="20">
        <f t="shared" si="1"/>
        <v>-3.851957915327003E-3</v>
      </c>
      <c r="H19" s="20">
        <f t="shared" si="2"/>
        <v>1.4837579781450352E-5</v>
      </c>
    </row>
    <row r="20" spans="1:8" x14ac:dyDescent="0.2">
      <c r="A20" t="s">
        <v>15</v>
      </c>
      <c r="B20" s="22">
        <v>5.5999999999999999E-3</v>
      </c>
      <c r="D20" s="7">
        <v>44512</v>
      </c>
      <c r="E20">
        <v>149.990005</v>
      </c>
      <c r="F20" s="20">
        <f t="shared" si="0"/>
        <v>1.423518297091249E-2</v>
      </c>
      <c r="G20" s="20">
        <f t="shared" si="1"/>
        <v>1.0316589502153041E-2</v>
      </c>
      <c r="H20" s="20">
        <f t="shared" si="2"/>
        <v>1.0643201895593433E-4</v>
      </c>
    </row>
    <row r="21" spans="1:8" x14ac:dyDescent="0.2">
      <c r="D21" s="7">
        <v>44511</v>
      </c>
      <c r="E21">
        <v>147.86999499999999</v>
      </c>
      <c r="F21" s="20">
        <f t="shared" si="0"/>
        <v>-3.380979861365724E-4</v>
      </c>
      <c r="G21" s="20">
        <f t="shared" si="1"/>
        <v>-4.2566914548960218E-3</v>
      </c>
      <c r="H21" s="20">
        <f t="shared" si="2"/>
        <v>1.8119422142184812E-5</v>
      </c>
    </row>
    <row r="22" spans="1:8" x14ac:dyDescent="0.2">
      <c r="D22" s="7">
        <v>44510</v>
      </c>
      <c r="E22">
        <v>147.91999799999999</v>
      </c>
      <c r="F22" s="20">
        <f t="shared" si="0"/>
        <v>-1.9349179552826317E-2</v>
      </c>
      <c r="G22" s="20">
        <f t="shared" si="1"/>
        <v>-2.3267773021585766E-2</v>
      </c>
      <c r="H22" s="20">
        <f t="shared" si="2"/>
        <v>5.413892613840344E-4</v>
      </c>
    </row>
    <row r="23" spans="1:8" x14ac:dyDescent="0.2">
      <c r="D23" s="7">
        <v>44509</v>
      </c>
      <c r="E23">
        <v>150.80999800000001</v>
      </c>
      <c r="F23" s="20">
        <f t="shared" si="0"/>
        <v>2.4564062144014744E-3</v>
      </c>
      <c r="G23" s="20">
        <f t="shared" si="1"/>
        <v>-1.462187254357975E-3</v>
      </c>
      <c r="H23" s="20">
        <f t="shared" si="2"/>
        <v>2.1379915668069135E-6</v>
      </c>
    </row>
    <row r="24" spans="1:8" x14ac:dyDescent="0.2">
      <c r="D24" s="7">
        <v>44508</v>
      </c>
      <c r="E24">
        <v>150.44000199999999</v>
      </c>
      <c r="F24" s="20">
        <f t="shared" si="0"/>
        <v>-5.5680708434708596E-3</v>
      </c>
      <c r="G24" s="20">
        <f t="shared" si="1"/>
        <v>-9.4866643122303099E-3</v>
      </c>
      <c r="H24" s="20">
        <f t="shared" si="2"/>
        <v>8.9996799772944184E-5</v>
      </c>
    </row>
    <row r="25" spans="1:8" x14ac:dyDescent="0.2">
      <c r="D25" s="7">
        <v>44505</v>
      </c>
      <c r="E25">
        <v>151.279999</v>
      </c>
      <c r="F25" s="20">
        <f t="shared" si="0"/>
        <v>3.5758861549236198E-3</v>
      </c>
      <c r="G25" s="20">
        <f t="shared" si="1"/>
        <v>-3.4270731383582954E-4</v>
      </c>
      <c r="H25" s="20">
        <f t="shared" si="2"/>
        <v>1.1744830295656976E-7</v>
      </c>
    </row>
    <row r="26" spans="1:8" x14ac:dyDescent="0.2">
      <c r="D26" s="7">
        <v>44504</v>
      </c>
      <c r="E26">
        <v>150.740005</v>
      </c>
      <c r="F26" s="20">
        <f t="shared" si="0"/>
        <v>-3.5047704581560018E-3</v>
      </c>
      <c r="G26" s="20">
        <f t="shared" si="1"/>
        <v>-7.4233639269154512E-3</v>
      </c>
      <c r="H26" s="20">
        <f t="shared" si="2"/>
        <v>5.5106331991429591E-5</v>
      </c>
    </row>
    <row r="27" spans="1:8" x14ac:dyDescent="0.2">
      <c r="D27" s="7">
        <v>44503</v>
      </c>
      <c r="E27">
        <v>151.26924099999999</v>
      </c>
      <c r="F27" s="20">
        <f t="shared" si="0"/>
        <v>9.7510454214689967E-3</v>
      </c>
      <c r="G27" s="20">
        <f t="shared" si="1"/>
        <v>5.8324519527095473E-3</v>
      </c>
      <c r="H27" s="20">
        <f t="shared" si="2"/>
        <v>3.4017495780665412E-5</v>
      </c>
    </row>
    <row r="28" spans="1:8" x14ac:dyDescent="0.2">
      <c r="D28" s="7">
        <v>44502</v>
      </c>
      <c r="E28">
        <v>149.801376</v>
      </c>
      <c r="F28" s="20">
        <f t="shared" si="0"/>
        <v>7.0908099673786121E-3</v>
      </c>
      <c r="G28" s="20">
        <f t="shared" si="1"/>
        <v>3.1722164986191627E-3</v>
      </c>
      <c r="H28" s="20">
        <f t="shared" si="2"/>
        <v>1.006295751411162E-5</v>
      </c>
    </row>
    <row r="29" spans="1:8" s="18" customFormat="1" x14ac:dyDescent="0.2">
      <c r="D29" s="19">
        <v>44501</v>
      </c>
      <c r="E29" s="18">
        <v>148.74292</v>
      </c>
    </row>
    <row r="30" spans="1:8" x14ac:dyDescent="0.2">
      <c r="D30" s="7"/>
    </row>
    <row r="31" spans="1:8" x14ac:dyDescent="0.2">
      <c r="D31" s="7"/>
    </row>
    <row r="32" spans="1:8" x14ac:dyDescent="0.2">
      <c r="D32" s="7"/>
    </row>
    <row r="33" spans="4:4" x14ac:dyDescent="0.2">
      <c r="D33" s="7"/>
    </row>
    <row r="34" spans="4:4" x14ac:dyDescent="0.2">
      <c r="D34" s="7"/>
    </row>
    <row r="35" spans="4:4" x14ac:dyDescent="0.2">
      <c r="D35" s="7"/>
    </row>
    <row r="36" spans="4:4" x14ac:dyDescent="0.2">
      <c r="D36" s="7"/>
    </row>
    <row r="37" spans="4:4" x14ac:dyDescent="0.2">
      <c r="D37" s="7"/>
    </row>
    <row r="38" spans="4:4" x14ac:dyDescent="0.2">
      <c r="D38" s="7"/>
    </row>
    <row r="39" spans="4:4" x14ac:dyDescent="0.2">
      <c r="D39" s="7"/>
    </row>
    <row r="40" spans="4:4" s="18" customFormat="1" x14ac:dyDescent="0.2">
      <c r="D40" s="19"/>
    </row>
    <row r="41" spans="4:4" x14ac:dyDescent="0.2">
      <c r="D41" s="7"/>
    </row>
    <row r="42" spans="4:4" x14ac:dyDescent="0.2">
      <c r="D42" s="7"/>
    </row>
    <row r="43" spans="4:4" x14ac:dyDescent="0.2">
      <c r="D43" s="7"/>
    </row>
    <row r="44" spans="4:4" x14ac:dyDescent="0.2">
      <c r="D44" s="7"/>
    </row>
    <row r="45" spans="4:4" x14ac:dyDescent="0.2">
      <c r="D45" s="7"/>
    </row>
    <row r="46" spans="4:4" x14ac:dyDescent="0.2">
      <c r="D46" s="7"/>
    </row>
    <row r="47" spans="4:4" x14ac:dyDescent="0.2">
      <c r="D47" s="7"/>
    </row>
    <row r="48" spans="4:4" x14ac:dyDescent="0.2">
      <c r="D48" s="7"/>
    </row>
    <row r="49" spans="4:4" x14ac:dyDescent="0.2">
      <c r="D49" s="7"/>
    </row>
    <row r="50" spans="4:4" x14ac:dyDescent="0.2">
      <c r="D50" s="7"/>
    </row>
    <row r="51" spans="4:4" x14ac:dyDescent="0.2">
      <c r="D51" s="7"/>
    </row>
    <row r="52" spans="4:4" x14ac:dyDescent="0.2">
      <c r="D52" s="7"/>
    </row>
    <row r="53" spans="4:4" x14ac:dyDescent="0.2">
      <c r="D53" s="7"/>
    </row>
    <row r="54" spans="4:4" x14ac:dyDescent="0.2">
      <c r="D54" s="7"/>
    </row>
    <row r="55" spans="4:4" x14ac:dyDescent="0.2">
      <c r="D55" s="7"/>
    </row>
    <row r="56" spans="4:4" x14ac:dyDescent="0.2">
      <c r="D56" s="7"/>
    </row>
    <row r="57" spans="4:4" x14ac:dyDescent="0.2">
      <c r="D57" s="7"/>
    </row>
    <row r="58" spans="4:4" x14ac:dyDescent="0.2">
      <c r="D58" s="7"/>
    </row>
    <row r="59" spans="4:4" x14ac:dyDescent="0.2">
      <c r="D59" s="7"/>
    </row>
    <row r="60" spans="4:4" x14ac:dyDescent="0.2">
      <c r="D60" s="7"/>
    </row>
    <row r="61" spans="4:4" x14ac:dyDescent="0.2">
      <c r="D61" s="7"/>
    </row>
    <row r="62" spans="4:4" x14ac:dyDescent="0.2">
      <c r="D62" s="7"/>
    </row>
    <row r="63" spans="4:4" x14ac:dyDescent="0.2">
      <c r="D63" s="7"/>
    </row>
    <row r="64" spans="4:4" x14ac:dyDescent="0.2">
      <c r="D64" s="7"/>
    </row>
    <row r="65" spans="4:4" x14ac:dyDescent="0.2">
      <c r="D65" s="7"/>
    </row>
    <row r="66" spans="4:4" x14ac:dyDescent="0.2">
      <c r="D66" s="7"/>
    </row>
    <row r="67" spans="4:4" x14ac:dyDescent="0.2">
      <c r="D67" s="7"/>
    </row>
    <row r="68" spans="4:4" x14ac:dyDescent="0.2">
      <c r="D68" s="7"/>
    </row>
    <row r="69" spans="4:4" x14ac:dyDescent="0.2">
      <c r="D69" s="7"/>
    </row>
    <row r="70" spans="4:4" x14ac:dyDescent="0.2">
      <c r="D70" s="7"/>
    </row>
    <row r="71" spans="4:4" x14ac:dyDescent="0.2">
      <c r="D71" s="7"/>
    </row>
    <row r="72" spans="4:4" x14ac:dyDescent="0.2">
      <c r="D72" s="7"/>
    </row>
    <row r="73" spans="4:4" x14ac:dyDescent="0.2">
      <c r="D73" s="7"/>
    </row>
    <row r="74" spans="4:4" x14ac:dyDescent="0.2">
      <c r="D74" s="7"/>
    </row>
    <row r="75" spans="4:4" x14ac:dyDescent="0.2">
      <c r="D75" s="7"/>
    </row>
    <row r="76" spans="4:4" x14ac:dyDescent="0.2">
      <c r="D76" s="7"/>
    </row>
    <row r="77" spans="4:4" x14ac:dyDescent="0.2">
      <c r="D77" s="7"/>
    </row>
    <row r="78" spans="4:4" x14ac:dyDescent="0.2">
      <c r="D78" s="7"/>
    </row>
    <row r="79" spans="4:4" x14ac:dyDescent="0.2">
      <c r="D79" s="7"/>
    </row>
    <row r="80" spans="4:4" x14ac:dyDescent="0.2">
      <c r="D80" s="7"/>
    </row>
    <row r="81" spans="4:4" x14ac:dyDescent="0.2">
      <c r="D81" s="7"/>
    </row>
    <row r="82" spans="4:4" x14ac:dyDescent="0.2">
      <c r="D82" s="7"/>
    </row>
    <row r="83" spans="4:4" x14ac:dyDescent="0.2">
      <c r="D83" s="7"/>
    </row>
    <row r="84" spans="4:4" x14ac:dyDescent="0.2">
      <c r="D84" s="7"/>
    </row>
    <row r="85" spans="4:4" x14ac:dyDescent="0.2">
      <c r="D85" s="7"/>
    </row>
    <row r="86" spans="4:4" x14ac:dyDescent="0.2">
      <c r="D86" s="7"/>
    </row>
    <row r="87" spans="4:4" x14ac:dyDescent="0.2">
      <c r="D87" s="7"/>
    </row>
    <row r="88" spans="4:4" x14ac:dyDescent="0.2">
      <c r="D88" s="7"/>
    </row>
    <row r="89" spans="4:4" x14ac:dyDescent="0.2">
      <c r="D89" s="7"/>
    </row>
    <row r="90" spans="4:4" x14ac:dyDescent="0.2">
      <c r="D90" s="7"/>
    </row>
    <row r="91" spans="4:4" x14ac:dyDescent="0.2">
      <c r="D91" s="7"/>
    </row>
    <row r="92" spans="4:4" x14ac:dyDescent="0.2">
      <c r="D92" s="7"/>
    </row>
    <row r="93" spans="4:4" x14ac:dyDescent="0.2">
      <c r="D93" s="7"/>
    </row>
    <row r="94" spans="4:4" x14ac:dyDescent="0.2">
      <c r="D94" s="7"/>
    </row>
    <row r="95" spans="4:4" x14ac:dyDescent="0.2">
      <c r="D95" s="7"/>
    </row>
    <row r="96" spans="4:4" x14ac:dyDescent="0.2">
      <c r="D96" s="7"/>
    </row>
    <row r="97" spans="4:4" x14ac:dyDescent="0.2">
      <c r="D97" s="7"/>
    </row>
    <row r="98" spans="4:4" x14ac:dyDescent="0.2">
      <c r="D98" s="7"/>
    </row>
    <row r="99" spans="4:4" x14ac:dyDescent="0.2">
      <c r="D99" s="7"/>
    </row>
    <row r="100" spans="4:4" x14ac:dyDescent="0.2">
      <c r="D100" s="7"/>
    </row>
    <row r="101" spans="4:4" x14ac:dyDescent="0.2">
      <c r="D101" s="7"/>
    </row>
    <row r="102" spans="4:4" x14ac:dyDescent="0.2">
      <c r="D102" s="7"/>
    </row>
    <row r="103" spans="4:4" x14ac:dyDescent="0.2">
      <c r="D103" s="7"/>
    </row>
    <row r="104" spans="4:4" x14ac:dyDescent="0.2">
      <c r="D104" s="7"/>
    </row>
    <row r="105" spans="4:4" x14ac:dyDescent="0.2">
      <c r="D105" s="7"/>
    </row>
    <row r="106" spans="4:4" x14ac:dyDescent="0.2">
      <c r="D106" s="7"/>
    </row>
    <row r="107" spans="4:4" x14ac:dyDescent="0.2">
      <c r="D107" s="7"/>
    </row>
    <row r="108" spans="4:4" x14ac:dyDescent="0.2">
      <c r="D108" s="7"/>
    </row>
    <row r="109" spans="4:4" x14ac:dyDescent="0.2">
      <c r="D109" s="7"/>
    </row>
    <row r="110" spans="4:4" x14ac:dyDescent="0.2">
      <c r="D110" s="7"/>
    </row>
    <row r="111" spans="4:4" x14ac:dyDescent="0.2">
      <c r="D111" s="7"/>
    </row>
    <row r="112" spans="4:4" x14ac:dyDescent="0.2">
      <c r="D112" s="7"/>
    </row>
    <row r="113" spans="4:4" x14ac:dyDescent="0.2">
      <c r="D113" s="7"/>
    </row>
    <row r="114" spans="4:4" x14ac:dyDescent="0.2">
      <c r="D114" s="7"/>
    </row>
    <row r="115" spans="4:4" x14ac:dyDescent="0.2">
      <c r="D115" s="7"/>
    </row>
    <row r="116" spans="4:4" x14ac:dyDescent="0.2">
      <c r="D116" s="7"/>
    </row>
    <row r="117" spans="4:4" x14ac:dyDescent="0.2">
      <c r="D117" s="7"/>
    </row>
    <row r="118" spans="4:4" x14ac:dyDescent="0.2">
      <c r="D118" s="7"/>
    </row>
    <row r="119" spans="4:4" x14ac:dyDescent="0.2">
      <c r="D119" s="7"/>
    </row>
    <row r="120" spans="4:4" x14ac:dyDescent="0.2">
      <c r="D120" s="7"/>
    </row>
    <row r="121" spans="4:4" x14ac:dyDescent="0.2">
      <c r="D121" s="7"/>
    </row>
    <row r="122" spans="4:4" x14ac:dyDescent="0.2">
      <c r="D122" s="7"/>
    </row>
    <row r="123" spans="4:4" x14ac:dyDescent="0.2">
      <c r="D123" s="7"/>
    </row>
    <row r="124" spans="4:4" x14ac:dyDescent="0.2">
      <c r="D124" s="7"/>
    </row>
    <row r="125" spans="4:4" x14ac:dyDescent="0.2">
      <c r="D125" s="7"/>
    </row>
    <row r="126" spans="4:4" x14ac:dyDescent="0.2">
      <c r="D126" s="7"/>
    </row>
    <row r="127" spans="4:4" x14ac:dyDescent="0.2">
      <c r="D127" s="7"/>
    </row>
    <row r="128" spans="4:4" x14ac:dyDescent="0.2">
      <c r="D128" s="7"/>
    </row>
    <row r="129" spans="4:4" x14ac:dyDescent="0.2">
      <c r="D129" s="7"/>
    </row>
    <row r="130" spans="4:4" x14ac:dyDescent="0.2">
      <c r="D130" s="7"/>
    </row>
    <row r="131" spans="4:4" x14ac:dyDescent="0.2">
      <c r="D131" s="7"/>
    </row>
    <row r="132" spans="4:4" x14ac:dyDescent="0.2">
      <c r="D132" s="7"/>
    </row>
    <row r="133" spans="4:4" x14ac:dyDescent="0.2">
      <c r="D133" s="7"/>
    </row>
    <row r="134" spans="4:4" x14ac:dyDescent="0.2">
      <c r="D134" s="7"/>
    </row>
    <row r="135" spans="4:4" x14ac:dyDescent="0.2">
      <c r="D135" s="7"/>
    </row>
    <row r="136" spans="4:4" x14ac:dyDescent="0.2">
      <c r="D136" s="7"/>
    </row>
    <row r="137" spans="4:4" x14ac:dyDescent="0.2">
      <c r="D137" s="7"/>
    </row>
    <row r="138" spans="4:4" x14ac:dyDescent="0.2">
      <c r="D138" s="7"/>
    </row>
    <row r="139" spans="4:4" x14ac:dyDescent="0.2">
      <c r="D139" s="7"/>
    </row>
    <row r="140" spans="4:4" x14ac:dyDescent="0.2">
      <c r="D140" s="7"/>
    </row>
    <row r="141" spans="4:4" x14ac:dyDescent="0.2">
      <c r="D141" s="7"/>
    </row>
    <row r="142" spans="4:4" x14ac:dyDescent="0.2">
      <c r="D142" s="7"/>
    </row>
    <row r="143" spans="4:4" x14ac:dyDescent="0.2">
      <c r="D143" s="7"/>
    </row>
    <row r="144" spans="4:4" x14ac:dyDescent="0.2">
      <c r="D144" s="7"/>
    </row>
    <row r="145" spans="4:4" x14ac:dyDescent="0.2">
      <c r="D145" s="7"/>
    </row>
    <row r="146" spans="4:4" x14ac:dyDescent="0.2">
      <c r="D146" s="7"/>
    </row>
    <row r="147" spans="4:4" x14ac:dyDescent="0.2">
      <c r="D147" s="7"/>
    </row>
    <row r="148" spans="4:4" x14ac:dyDescent="0.2">
      <c r="D148" s="7"/>
    </row>
    <row r="149" spans="4:4" x14ac:dyDescent="0.2">
      <c r="D149" s="7"/>
    </row>
    <row r="150" spans="4:4" x14ac:dyDescent="0.2">
      <c r="D150" s="7"/>
    </row>
    <row r="151" spans="4:4" x14ac:dyDescent="0.2">
      <c r="D151" s="7"/>
    </row>
    <row r="152" spans="4:4" x14ac:dyDescent="0.2">
      <c r="D152" s="7"/>
    </row>
    <row r="153" spans="4:4" x14ac:dyDescent="0.2">
      <c r="D153" s="7"/>
    </row>
    <row r="154" spans="4:4" x14ac:dyDescent="0.2">
      <c r="D154" s="7"/>
    </row>
    <row r="155" spans="4:4" x14ac:dyDescent="0.2">
      <c r="D155" s="7"/>
    </row>
    <row r="156" spans="4:4" x14ac:dyDescent="0.2">
      <c r="D156" s="7"/>
    </row>
    <row r="157" spans="4:4" x14ac:dyDescent="0.2">
      <c r="D157" s="7"/>
    </row>
    <row r="158" spans="4:4" x14ac:dyDescent="0.2">
      <c r="D158" s="7"/>
    </row>
    <row r="159" spans="4:4" x14ac:dyDescent="0.2">
      <c r="D159" s="7"/>
    </row>
    <row r="160" spans="4:4" x14ac:dyDescent="0.2">
      <c r="D160" s="7"/>
    </row>
    <row r="161" spans="4:4" x14ac:dyDescent="0.2">
      <c r="D161" s="7"/>
    </row>
    <row r="162" spans="4:4" x14ac:dyDescent="0.2">
      <c r="D162" s="7"/>
    </row>
    <row r="163" spans="4:4" x14ac:dyDescent="0.2">
      <c r="D163" s="7"/>
    </row>
    <row r="164" spans="4:4" x14ac:dyDescent="0.2">
      <c r="D164" s="7"/>
    </row>
    <row r="165" spans="4:4" x14ac:dyDescent="0.2">
      <c r="D165" s="7"/>
    </row>
    <row r="166" spans="4:4" x14ac:dyDescent="0.2">
      <c r="D166" s="7"/>
    </row>
    <row r="167" spans="4:4" x14ac:dyDescent="0.2">
      <c r="D167" s="7"/>
    </row>
    <row r="168" spans="4:4" x14ac:dyDescent="0.2">
      <c r="D168" s="7"/>
    </row>
    <row r="169" spans="4:4" x14ac:dyDescent="0.2">
      <c r="D169" s="7"/>
    </row>
    <row r="170" spans="4:4" x14ac:dyDescent="0.2">
      <c r="D170" s="7"/>
    </row>
    <row r="171" spans="4:4" x14ac:dyDescent="0.2">
      <c r="D171" s="7"/>
    </row>
    <row r="172" spans="4:4" x14ac:dyDescent="0.2">
      <c r="D172" s="7"/>
    </row>
    <row r="173" spans="4:4" x14ac:dyDescent="0.2">
      <c r="D173" s="7"/>
    </row>
    <row r="174" spans="4:4" x14ac:dyDescent="0.2">
      <c r="D174" s="7"/>
    </row>
    <row r="175" spans="4:4" x14ac:dyDescent="0.2">
      <c r="D175" s="7"/>
    </row>
    <row r="176" spans="4:4" x14ac:dyDescent="0.2">
      <c r="D176" s="7"/>
    </row>
    <row r="177" spans="4:4" x14ac:dyDescent="0.2">
      <c r="D177" s="7"/>
    </row>
    <row r="178" spans="4:4" x14ac:dyDescent="0.2">
      <c r="D178" s="7"/>
    </row>
    <row r="179" spans="4:4" x14ac:dyDescent="0.2">
      <c r="D179" s="7"/>
    </row>
    <row r="180" spans="4:4" x14ac:dyDescent="0.2">
      <c r="D180" s="7"/>
    </row>
    <row r="181" spans="4:4" x14ac:dyDescent="0.2">
      <c r="D181" s="7"/>
    </row>
    <row r="182" spans="4:4" x14ac:dyDescent="0.2">
      <c r="D182" s="7"/>
    </row>
    <row r="183" spans="4:4" x14ac:dyDescent="0.2">
      <c r="D183" s="7"/>
    </row>
    <row r="184" spans="4:4" x14ac:dyDescent="0.2">
      <c r="D184" s="7"/>
    </row>
    <row r="185" spans="4:4" x14ac:dyDescent="0.2">
      <c r="D185" s="7"/>
    </row>
    <row r="186" spans="4:4" x14ac:dyDescent="0.2">
      <c r="D186" s="7"/>
    </row>
    <row r="187" spans="4:4" x14ac:dyDescent="0.2">
      <c r="D187" s="7"/>
    </row>
    <row r="188" spans="4:4" x14ac:dyDescent="0.2">
      <c r="D188" s="7"/>
    </row>
    <row r="189" spans="4:4" x14ac:dyDescent="0.2">
      <c r="D189" s="7"/>
    </row>
    <row r="190" spans="4:4" x14ac:dyDescent="0.2">
      <c r="D190" s="7"/>
    </row>
    <row r="191" spans="4:4" x14ac:dyDescent="0.2">
      <c r="D191" s="7"/>
    </row>
    <row r="192" spans="4:4" x14ac:dyDescent="0.2">
      <c r="D192" s="7"/>
    </row>
    <row r="193" spans="4:4" x14ac:dyDescent="0.2">
      <c r="D193" s="7"/>
    </row>
    <row r="194" spans="4:4" x14ac:dyDescent="0.2">
      <c r="D194" s="7"/>
    </row>
    <row r="195" spans="4:4" x14ac:dyDescent="0.2">
      <c r="D195" s="7"/>
    </row>
    <row r="196" spans="4:4" x14ac:dyDescent="0.2">
      <c r="D196" s="7"/>
    </row>
    <row r="197" spans="4:4" x14ac:dyDescent="0.2">
      <c r="D197" s="7"/>
    </row>
    <row r="198" spans="4:4" x14ac:dyDescent="0.2">
      <c r="D198" s="7"/>
    </row>
    <row r="199" spans="4:4" x14ac:dyDescent="0.2">
      <c r="D199" s="7"/>
    </row>
    <row r="200" spans="4:4" x14ac:dyDescent="0.2">
      <c r="D200" s="7"/>
    </row>
    <row r="201" spans="4:4" x14ac:dyDescent="0.2">
      <c r="D201" s="7"/>
    </row>
    <row r="202" spans="4:4" x14ac:dyDescent="0.2">
      <c r="D202" s="7"/>
    </row>
    <row r="203" spans="4:4" x14ac:dyDescent="0.2">
      <c r="D203" s="7"/>
    </row>
    <row r="204" spans="4:4" x14ac:dyDescent="0.2">
      <c r="D204" s="7"/>
    </row>
    <row r="205" spans="4:4" x14ac:dyDescent="0.2">
      <c r="D205" s="7"/>
    </row>
    <row r="206" spans="4:4" x14ac:dyDescent="0.2">
      <c r="D206" s="7"/>
    </row>
    <row r="207" spans="4:4" x14ac:dyDescent="0.2">
      <c r="D207" s="7"/>
    </row>
    <row r="208" spans="4:4" x14ac:dyDescent="0.2">
      <c r="D208" s="7"/>
    </row>
    <row r="209" spans="4:4" x14ac:dyDescent="0.2">
      <c r="D209" s="7"/>
    </row>
    <row r="210" spans="4:4" x14ac:dyDescent="0.2">
      <c r="D210" s="7"/>
    </row>
    <row r="211" spans="4:4" x14ac:dyDescent="0.2">
      <c r="D211" s="7"/>
    </row>
    <row r="212" spans="4:4" x14ac:dyDescent="0.2">
      <c r="D212" s="7"/>
    </row>
    <row r="213" spans="4:4" x14ac:dyDescent="0.2">
      <c r="D213" s="7"/>
    </row>
    <row r="214" spans="4:4" x14ac:dyDescent="0.2">
      <c r="D214" s="7"/>
    </row>
    <row r="215" spans="4:4" x14ac:dyDescent="0.2">
      <c r="D215" s="7"/>
    </row>
    <row r="216" spans="4:4" x14ac:dyDescent="0.2">
      <c r="D216" s="7"/>
    </row>
    <row r="217" spans="4:4" x14ac:dyDescent="0.2">
      <c r="D217" s="7"/>
    </row>
    <row r="218" spans="4:4" x14ac:dyDescent="0.2">
      <c r="D218" s="7"/>
    </row>
    <row r="219" spans="4:4" x14ac:dyDescent="0.2">
      <c r="D219" s="7"/>
    </row>
    <row r="220" spans="4:4" x14ac:dyDescent="0.2">
      <c r="D220" s="7"/>
    </row>
    <row r="221" spans="4:4" x14ac:dyDescent="0.2">
      <c r="D221" s="7"/>
    </row>
    <row r="222" spans="4:4" x14ac:dyDescent="0.2">
      <c r="D222" s="7"/>
    </row>
    <row r="223" spans="4:4" x14ac:dyDescent="0.2">
      <c r="D223" s="7"/>
    </row>
    <row r="224" spans="4:4" x14ac:dyDescent="0.2">
      <c r="D224" s="7"/>
    </row>
    <row r="225" spans="4:4" x14ac:dyDescent="0.2">
      <c r="D225" s="7"/>
    </row>
    <row r="226" spans="4:4" x14ac:dyDescent="0.2">
      <c r="D226" s="7"/>
    </row>
    <row r="227" spans="4:4" x14ac:dyDescent="0.2">
      <c r="D227" s="7"/>
    </row>
    <row r="228" spans="4:4" x14ac:dyDescent="0.2">
      <c r="D228" s="7"/>
    </row>
    <row r="229" spans="4:4" x14ac:dyDescent="0.2">
      <c r="D229" s="7"/>
    </row>
    <row r="230" spans="4:4" x14ac:dyDescent="0.2">
      <c r="D230" s="7"/>
    </row>
    <row r="231" spans="4:4" x14ac:dyDescent="0.2">
      <c r="D231" s="7"/>
    </row>
    <row r="232" spans="4:4" x14ac:dyDescent="0.2">
      <c r="D232" s="7"/>
    </row>
    <row r="233" spans="4:4" x14ac:dyDescent="0.2">
      <c r="D233" s="7"/>
    </row>
    <row r="234" spans="4:4" x14ac:dyDescent="0.2">
      <c r="D234" s="7"/>
    </row>
    <row r="235" spans="4:4" x14ac:dyDescent="0.2">
      <c r="D235" s="7"/>
    </row>
    <row r="236" spans="4:4" x14ac:dyDescent="0.2">
      <c r="D236" s="7"/>
    </row>
    <row r="237" spans="4:4" x14ac:dyDescent="0.2">
      <c r="D237" s="7"/>
    </row>
    <row r="238" spans="4:4" x14ac:dyDescent="0.2">
      <c r="D238" s="7"/>
    </row>
    <row r="239" spans="4:4" x14ac:dyDescent="0.2">
      <c r="D239" s="7"/>
    </row>
    <row r="240" spans="4:4" x14ac:dyDescent="0.2">
      <c r="D240" s="7"/>
    </row>
    <row r="241" spans="4:4" x14ac:dyDescent="0.2">
      <c r="D241" s="7"/>
    </row>
    <row r="242" spans="4:4" x14ac:dyDescent="0.2">
      <c r="D242" s="7"/>
    </row>
    <row r="243" spans="4:4" x14ac:dyDescent="0.2">
      <c r="D243" s="7"/>
    </row>
    <row r="244" spans="4:4" x14ac:dyDescent="0.2">
      <c r="D244" s="7"/>
    </row>
    <row r="245" spans="4:4" x14ac:dyDescent="0.2">
      <c r="D245" s="7"/>
    </row>
    <row r="246" spans="4:4" x14ac:dyDescent="0.2">
      <c r="D246" s="7"/>
    </row>
    <row r="247" spans="4:4" x14ac:dyDescent="0.2">
      <c r="D247" s="7"/>
    </row>
    <row r="248" spans="4:4" x14ac:dyDescent="0.2">
      <c r="D248" s="7"/>
    </row>
    <row r="249" spans="4:4" x14ac:dyDescent="0.2">
      <c r="D249" s="7"/>
    </row>
    <row r="250" spans="4:4" x14ac:dyDescent="0.2">
      <c r="D250" s="7"/>
    </row>
    <row r="251" spans="4:4" x14ac:dyDescent="0.2">
      <c r="D251" s="7"/>
    </row>
    <row r="252" spans="4:4" x14ac:dyDescent="0.2">
      <c r="D252" s="7"/>
    </row>
    <row r="253" spans="4:4" x14ac:dyDescent="0.2">
      <c r="D253" s="7"/>
    </row>
    <row r="254" spans="4:4" x14ac:dyDescent="0.2">
      <c r="D254" s="7"/>
    </row>
    <row r="255" spans="4:4" x14ac:dyDescent="0.2">
      <c r="D255" s="7"/>
    </row>
    <row r="256" spans="4:4" x14ac:dyDescent="0.2">
      <c r="D256" s="7"/>
    </row>
    <row r="257" spans="4:4" x14ac:dyDescent="0.2">
      <c r="D257" s="7"/>
    </row>
    <row r="258" spans="4:4" x14ac:dyDescent="0.2">
      <c r="D258" s="7"/>
    </row>
    <row r="259" spans="4:4" x14ac:dyDescent="0.2">
      <c r="D259" s="7"/>
    </row>
    <row r="260" spans="4:4" x14ac:dyDescent="0.2">
      <c r="D260" s="7"/>
    </row>
    <row r="261" spans="4:4" x14ac:dyDescent="0.2">
      <c r="D261" s="7"/>
    </row>
    <row r="262" spans="4:4" x14ac:dyDescent="0.2">
      <c r="D262" s="7"/>
    </row>
    <row r="263" spans="4:4" x14ac:dyDescent="0.2">
      <c r="D263" s="7"/>
    </row>
    <row r="264" spans="4:4" x14ac:dyDescent="0.2">
      <c r="D264" s="7"/>
    </row>
    <row r="265" spans="4:4" x14ac:dyDescent="0.2">
      <c r="D265" s="7"/>
    </row>
    <row r="266" spans="4:4" x14ac:dyDescent="0.2">
      <c r="D266" s="7"/>
    </row>
    <row r="267" spans="4:4" x14ac:dyDescent="0.2">
      <c r="D267" s="7"/>
    </row>
    <row r="268" spans="4:4" x14ac:dyDescent="0.2">
      <c r="D268" s="7"/>
    </row>
    <row r="269" spans="4:4" x14ac:dyDescent="0.2">
      <c r="D269" s="7"/>
    </row>
    <row r="270" spans="4:4" x14ac:dyDescent="0.2">
      <c r="D270" s="7"/>
    </row>
    <row r="271" spans="4:4" x14ac:dyDescent="0.2">
      <c r="D271" s="7"/>
    </row>
    <row r="272" spans="4:4" x14ac:dyDescent="0.2">
      <c r="D272" s="7"/>
    </row>
    <row r="273" spans="4:4" x14ac:dyDescent="0.2">
      <c r="D273" s="7"/>
    </row>
    <row r="274" spans="4:4" x14ac:dyDescent="0.2">
      <c r="D274" s="7"/>
    </row>
    <row r="275" spans="4:4" x14ac:dyDescent="0.2">
      <c r="D275" s="7"/>
    </row>
    <row r="276" spans="4:4" x14ac:dyDescent="0.2">
      <c r="D276" s="7"/>
    </row>
    <row r="277" spans="4:4" x14ac:dyDescent="0.2">
      <c r="D277" s="7"/>
    </row>
    <row r="278" spans="4:4" x14ac:dyDescent="0.2">
      <c r="D278" s="7"/>
    </row>
    <row r="279" spans="4:4" x14ac:dyDescent="0.2">
      <c r="D279" s="7"/>
    </row>
    <row r="280" spans="4:4" x14ac:dyDescent="0.2">
      <c r="D280" s="7"/>
    </row>
    <row r="281" spans="4:4" x14ac:dyDescent="0.2">
      <c r="D281" s="7"/>
    </row>
    <row r="282" spans="4:4" x14ac:dyDescent="0.2">
      <c r="D282" s="7"/>
    </row>
    <row r="283" spans="4:4" x14ac:dyDescent="0.2">
      <c r="D283" s="7"/>
    </row>
    <row r="284" spans="4:4" x14ac:dyDescent="0.2">
      <c r="D284" s="7"/>
    </row>
    <row r="285" spans="4:4" x14ac:dyDescent="0.2">
      <c r="D285" s="7"/>
    </row>
    <row r="286" spans="4:4" x14ac:dyDescent="0.2">
      <c r="D286" s="7"/>
    </row>
    <row r="287" spans="4:4" x14ac:dyDescent="0.2">
      <c r="D287" s="7"/>
    </row>
    <row r="288" spans="4:4" x14ac:dyDescent="0.2">
      <c r="D288" s="7"/>
    </row>
    <row r="289" spans="4:4" x14ac:dyDescent="0.2">
      <c r="D289" s="7"/>
    </row>
    <row r="290" spans="4:4" x14ac:dyDescent="0.2">
      <c r="D290" s="7"/>
    </row>
    <row r="291" spans="4:4" x14ac:dyDescent="0.2">
      <c r="D291" s="7"/>
    </row>
    <row r="292" spans="4:4" x14ac:dyDescent="0.2">
      <c r="D292" s="7"/>
    </row>
    <row r="293" spans="4:4" x14ac:dyDescent="0.2">
      <c r="D293" s="7"/>
    </row>
    <row r="294" spans="4:4" x14ac:dyDescent="0.2">
      <c r="D294" s="7"/>
    </row>
    <row r="295" spans="4:4" x14ac:dyDescent="0.2">
      <c r="D295" s="7"/>
    </row>
    <row r="296" spans="4:4" x14ac:dyDescent="0.2">
      <c r="D296" s="7"/>
    </row>
    <row r="297" spans="4:4" x14ac:dyDescent="0.2">
      <c r="D297" s="7"/>
    </row>
    <row r="298" spans="4:4" x14ac:dyDescent="0.2">
      <c r="D298" s="7"/>
    </row>
    <row r="299" spans="4:4" x14ac:dyDescent="0.2">
      <c r="D299" s="7"/>
    </row>
    <row r="300" spans="4:4" x14ac:dyDescent="0.2">
      <c r="D300" s="7"/>
    </row>
    <row r="301" spans="4:4" x14ac:dyDescent="0.2">
      <c r="D301" s="7"/>
    </row>
    <row r="302" spans="4:4" x14ac:dyDescent="0.2">
      <c r="D302" s="7"/>
    </row>
    <row r="303" spans="4:4" x14ac:dyDescent="0.2">
      <c r="D303" s="7"/>
    </row>
    <row r="304" spans="4:4" x14ac:dyDescent="0.2">
      <c r="D304" s="7"/>
    </row>
    <row r="305" spans="4:4" x14ac:dyDescent="0.2">
      <c r="D305" s="7"/>
    </row>
    <row r="306" spans="4:4" x14ac:dyDescent="0.2">
      <c r="D306" s="7"/>
    </row>
    <row r="307" spans="4:4" x14ac:dyDescent="0.2">
      <c r="D307" s="7"/>
    </row>
    <row r="308" spans="4:4" x14ac:dyDescent="0.2">
      <c r="D308" s="7"/>
    </row>
    <row r="309" spans="4:4" x14ac:dyDescent="0.2">
      <c r="D309" s="7"/>
    </row>
    <row r="310" spans="4:4" x14ac:dyDescent="0.2">
      <c r="D310" s="7"/>
    </row>
    <row r="311" spans="4:4" x14ac:dyDescent="0.2">
      <c r="D311" s="7"/>
    </row>
    <row r="312" spans="4:4" x14ac:dyDescent="0.2">
      <c r="D312" s="7"/>
    </row>
    <row r="313" spans="4:4" x14ac:dyDescent="0.2">
      <c r="D313" s="7"/>
    </row>
    <row r="314" spans="4:4" x14ac:dyDescent="0.2">
      <c r="D314" s="7"/>
    </row>
    <row r="315" spans="4:4" x14ac:dyDescent="0.2">
      <c r="D315" s="7"/>
    </row>
    <row r="316" spans="4:4" x14ac:dyDescent="0.2">
      <c r="D316" s="7"/>
    </row>
    <row r="317" spans="4:4" x14ac:dyDescent="0.2">
      <c r="D317" s="7"/>
    </row>
    <row r="318" spans="4:4" x14ac:dyDescent="0.2">
      <c r="D318" s="7"/>
    </row>
    <row r="319" spans="4:4" x14ac:dyDescent="0.2">
      <c r="D319" s="7"/>
    </row>
    <row r="320" spans="4:4" x14ac:dyDescent="0.2">
      <c r="D320" s="7"/>
    </row>
    <row r="321" spans="4:4" x14ac:dyDescent="0.2">
      <c r="D321" s="7"/>
    </row>
    <row r="322" spans="4:4" x14ac:dyDescent="0.2">
      <c r="D322" s="7"/>
    </row>
    <row r="323" spans="4:4" x14ac:dyDescent="0.2">
      <c r="D323" s="7"/>
    </row>
    <row r="324" spans="4:4" x14ac:dyDescent="0.2">
      <c r="D324" s="7"/>
    </row>
    <row r="325" spans="4:4" x14ac:dyDescent="0.2">
      <c r="D325" s="7"/>
    </row>
    <row r="326" spans="4:4" x14ac:dyDescent="0.2">
      <c r="D326" s="7"/>
    </row>
    <row r="327" spans="4:4" x14ac:dyDescent="0.2">
      <c r="D327" s="7"/>
    </row>
    <row r="328" spans="4:4" x14ac:dyDescent="0.2">
      <c r="D328" s="7"/>
    </row>
    <row r="329" spans="4:4" x14ac:dyDescent="0.2">
      <c r="D329" s="7"/>
    </row>
    <row r="330" spans="4:4" x14ac:dyDescent="0.2">
      <c r="D330" s="7"/>
    </row>
    <row r="331" spans="4:4" x14ac:dyDescent="0.2">
      <c r="D331" s="7"/>
    </row>
    <row r="332" spans="4:4" x14ac:dyDescent="0.2">
      <c r="D332" s="7"/>
    </row>
    <row r="333" spans="4:4" x14ac:dyDescent="0.2">
      <c r="D333" s="7"/>
    </row>
    <row r="334" spans="4:4" x14ac:dyDescent="0.2">
      <c r="D334" s="7"/>
    </row>
    <row r="335" spans="4:4" x14ac:dyDescent="0.2">
      <c r="D335" s="7"/>
    </row>
    <row r="336" spans="4:4" x14ac:dyDescent="0.2">
      <c r="D336" s="7"/>
    </row>
    <row r="337" spans="4:4" x14ac:dyDescent="0.2">
      <c r="D337" s="7"/>
    </row>
    <row r="338" spans="4:4" x14ac:dyDescent="0.2">
      <c r="D338" s="7"/>
    </row>
    <row r="339" spans="4:4" x14ac:dyDescent="0.2">
      <c r="D339" s="7"/>
    </row>
    <row r="340" spans="4:4" x14ac:dyDescent="0.2">
      <c r="D340" s="7"/>
    </row>
    <row r="341" spans="4:4" x14ac:dyDescent="0.2">
      <c r="D341" s="7"/>
    </row>
    <row r="342" spans="4:4" x14ac:dyDescent="0.2">
      <c r="D342" s="7"/>
    </row>
    <row r="343" spans="4:4" x14ac:dyDescent="0.2">
      <c r="D343" s="7"/>
    </row>
    <row r="344" spans="4:4" x14ac:dyDescent="0.2">
      <c r="D344" s="7"/>
    </row>
    <row r="345" spans="4:4" x14ac:dyDescent="0.2">
      <c r="D345" s="7"/>
    </row>
    <row r="346" spans="4:4" x14ac:dyDescent="0.2">
      <c r="D346" s="7"/>
    </row>
    <row r="347" spans="4:4" x14ac:dyDescent="0.2">
      <c r="D347" s="7"/>
    </row>
    <row r="348" spans="4:4" x14ac:dyDescent="0.2">
      <c r="D348" s="7"/>
    </row>
    <row r="349" spans="4:4" x14ac:dyDescent="0.2">
      <c r="D349" s="7"/>
    </row>
    <row r="350" spans="4:4" x14ac:dyDescent="0.2">
      <c r="D350" s="7"/>
    </row>
    <row r="351" spans="4:4" x14ac:dyDescent="0.2">
      <c r="D351" s="7"/>
    </row>
    <row r="352" spans="4:4" x14ac:dyDescent="0.2">
      <c r="D352" s="7"/>
    </row>
    <row r="353" spans="4:4" x14ac:dyDescent="0.2">
      <c r="D353" s="7"/>
    </row>
    <row r="354" spans="4:4" x14ac:dyDescent="0.2">
      <c r="D354" s="7"/>
    </row>
    <row r="355" spans="4:4" x14ac:dyDescent="0.2">
      <c r="D355" s="7"/>
    </row>
    <row r="356" spans="4:4" x14ac:dyDescent="0.2">
      <c r="D356" s="7"/>
    </row>
    <row r="357" spans="4:4" x14ac:dyDescent="0.2">
      <c r="D357" s="7"/>
    </row>
    <row r="358" spans="4:4" x14ac:dyDescent="0.2">
      <c r="D358" s="7"/>
    </row>
    <row r="359" spans="4:4" x14ac:dyDescent="0.2">
      <c r="D359" s="7"/>
    </row>
    <row r="360" spans="4:4" x14ac:dyDescent="0.2">
      <c r="D360" s="7"/>
    </row>
    <row r="361" spans="4:4" x14ac:dyDescent="0.2">
      <c r="D361" s="7"/>
    </row>
    <row r="362" spans="4:4" x14ac:dyDescent="0.2">
      <c r="D362" s="7"/>
    </row>
    <row r="363" spans="4:4" x14ac:dyDescent="0.2">
      <c r="D363" s="7"/>
    </row>
    <row r="364" spans="4:4" x14ac:dyDescent="0.2">
      <c r="D364" s="7"/>
    </row>
    <row r="365" spans="4:4" x14ac:dyDescent="0.2">
      <c r="D365" s="7"/>
    </row>
    <row r="366" spans="4:4" x14ac:dyDescent="0.2">
      <c r="D366" s="7"/>
    </row>
    <row r="367" spans="4:4" x14ac:dyDescent="0.2">
      <c r="D367" s="7"/>
    </row>
    <row r="368" spans="4:4" x14ac:dyDescent="0.2">
      <c r="D368" s="7"/>
    </row>
    <row r="369" spans="4:4" x14ac:dyDescent="0.2">
      <c r="D369" s="7"/>
    </row>
    <row r="370" spans="4:4" x14ac:dyDescent="0.2">
      <c r="D370" s="7"/>
    </row>
    <row r="371" spans="4:4" x14ac:dyDescent="0.2">
      <c r="D371" s="7"/>
    </row>
    <row r="372" spans="4:4" x14ac:dyDescent="0.2">
      <c r="D372" s="7"/>
    </row>
    <row r="373" spans="4:4" x14ac:dyDescent="0.2">
      <c r="D373" s="7"/>
    </row>
    <row r="374" spans="4:4" x14ac:dyDescent="0.2">
      <c r="D374" s="7"/>
    </row>
    <row r="375" spans="4:4" x14ac:dyDescent="0.2">
      <c r="D375" s="7"/>
    </row>
    <row r="376" spans="4:4" x14ac:dyDescent="0.2">
      <c r="D376" s="7"/>
    </row>
    <row r="377" spans="4:4" x14ac:dyDescent="0.2">
      <c r="D377" s="7"/>
    </row>
    <row r="378" spans="4:4" x14ac:dyDescent="0.2">
      <c r="D378" s="7"/>
    </row>
    <row r="379" spans="4:4" x14ac:dyDescent="0.2">
      <c r="D379" s="7"/>
    </row>
    <row r="380" spans="4:4" x14ac:dyDescent="0.2">
      <c r="D380" s="7"/>
    </row>
    <row r="381" spans="4:4" x14ac:dyDescent="0.2">
      <c r="D381" s="7"/>
    </row>
    <row r="382" spans="4:4" x14ac:dyDescent="0.2">
      <c r="D382" s="7"/>
    </row>
    <row r="383" spans="4:4" x14ac:dyDescent="0.2">
      <c r="D383" s="7"/>
    </row>
    <row r="384" spans="4:4" x14ac:dyDescent="0.2">
      <c r="D384" s="7"/>
    </row>
    <row r="385" spans="4:4" x14ac:dyDescent="0.2">
      <c r="D385" s="7"/>
    </row>
    <row r="386" spans="4:4" x14ac:dyDescent="0.2">
      <c r="D386" s="7"/>
    </row>
    <row r="387" spans="4:4" x14ac:dyDescent="0.2">
      <c r="D387" s="7"/>
    </row>
    <row r="388" spans="4:4" x14ac:dyDescent="0.2">
      <c r="D388" s="7"/>
    </row>
    <row r="389" spans="4:4" x14ac:dyDescent="0.2">
      <c r="D389" s="7"/>
    </row>
    <row r="390" spans="4:4" x14ac:dyDescent="0.2">
      <c r="D390" s="7"/>
    </row>
    <row r="391" spans="4:4" x14ac:dyDescent="0.2">
      <c r="D391" s="7"/>
    </row>
    <row r="392" spans="4:4" x14ac:dyDescent="0.2">
      <c r="D392" s="7"/>
    </row>
    <row r="393" spans="4:4" x14ac:dyDescent="0.2">
      <c r="D393" s="7"/>
    </row>
    <row r="394" spans="4:4" x14ac:dyDescent="0.2">
      <c r="D394" s="7"/>
    </row>
    <row r="395" spans="4:4" x14ac:dyDescent="0.2">
      <c r="D395" s="7"/>
    </row>
    <row r="396" spans="4:4" x14ac:dyDescent="0.2">
      <c r="D396" s="7"/>
    </row>
    <row r="397" spans="4:4" x14ac:dyDescent="0.2">
      <c r="D397" s="7"/>
    </row>
    <row r="398" spans="4:4" x14ac:dyDescent="0.2">
      <c r="D398" s="7"/>
    </row>
    <row r="399" spans="4:4" x14ac:dyDescent="0.2">
      <c r="D399" s="7"/>
    </row>
    <row r="400" spans="4:4" x14ac:dyDescent="0.2">
      <c r="D400" s="7"/>
    </row>
    <row r="401" spans="4:4" x14ac:dyDescent="0.2">
      <c r="D401" s="7"/>
    </row>
    <row r="402" spans="4:4" x14ac:dyDescent="0.2">
      <c r="D402" s="7"/>
    </row>
    <row r="403" spans="4:4" x14ac:dyDescent="0.2">
      <c r="D403" s="7"/>
    </row>
    <row r="404" spans="4:4" x14ac:dyDescent="0.2">
      <c r="D404" s="7"/>
    </row>
    <row r="405" spans="4:4" x14ac:dyDescent="0.2">
      <c r="D405" s="7"/>
    </row>
    <row r="406" spans="4:4" x14ac:dyDescent="0.2">
      <c r="D406" s="7"/>
    </row>
    <row r="407" spans="4:4" x14ac:dyDescent="0.2">
      <c r="D407" s="7"/>
    </row>
    <row r="408" spans="4:4" x14ac:dyDescent="0.2">
      <c r="D408" s="7"/>
    </row>
    <row r="409" spans="4:4" x14ac:dyDescent="0.2">
      <c r="D409" s="7"/>
    </row>
    <row r="410" spans="4:4" x14ac:dyDescent="0.2">
      <c r="D410" s="7"/>
    </row>
    <row r="411" spans="4:4" x14ac:dyDescent="0.2">
      <c r="D411" s="7"/>
    </row>
    <row r="412" spans="4:4" x14ac:dyDescent="0.2">
      <c r="D412" s="7"/>
    </row>
    <row r="413" spans="4:4" x14ac:dyDescent="0.2">
      <c r="D413" s="7"/>
    </row>
    <row r="414" spans="4:4" x14ac:dyDescent="0.2">
      <c r="D414" s="7"/>
    </row>
    <row r="415" spans="4:4" x14ac:dyDescent="0.2">
      <c r="D415" s="7"/>
    </row>
    <row r="416" spans="4:4" x14ac:dyDescent="0.2">
      <c r="D416" s="7"/>
    </row>
    <row r="417" spans="4:4" x14ac:dyDescent="0.2">
      <c r="D417" s="7"/>
    </row>
    <row r="418" spans="4:4" x14ac:dyDescent="0.2">
      <c r="D418" s="7"/>
    </row>
    <row r="419" spans="4:4" x14ac:dyDescent="0.2">
      <c r="D419" s="7"/>
    </row>
    <row r="420" spans="4:4" x14ac:dyDescent="0.2">
      <c r="D420" s="7"/>
    </row>
    <row r="421" spans="4:4" x14ac:dyDescent="0.2">
      <c r="D421" s="7"/>
    </row>
    <row r="422" spans="4:4" x14ac:dyDescent="0.2">
      <c r="D422" s="7"/>
    </row>
    <row r="423" spans="4:4" x14ac:dyDescent="0.2">
      <c r="D423" s="7"/>
    </row>
    <row r="424" spans="4:4" x14ac:dyDescent="0.2">
      <c r="D424" s="7"/>
    </row>
    <row r="425" spans="4:4" x14ac:dyDescent="0.2">
      <c r="D425" s="7"/>
    </row>
    <row r="426" spans="4:4" x14ac:dyDescent="0.2">
      <c r="D426" s="7"/>
    </row>
    <row r="427" spans="4:4" x14ac:dyDescent="0.2">
      <c r="D427" s="7"/>
    </row>
    <row r="428" spans="4:4" x14ac:dyDescent="0.2">
      <c r="D428" s="7"/>
    </row>
    <row r="429" spans="4:4" x14ac:dyDescent="0.2">
      <c r="D429" s="7"/>
    </row>
    <row r="430" spans="4:4" x14ac:dyDescent="0.2">
      <c r="D430" s="7"/>
    </row>
    <row r="431" spans="4:4" x14ac:dyDescent="0.2">
      <c r="D431" s="7"/>
    </row>
    <row r="432" spans="4:4" x14ac:dyDescent="0.2">
      <c r="D432" s="7"/>
    </row>
    <row r="433" spans="4:4" x14ac:dyDescent="0.2">
      <c r="D433" s="7"/>
    </row>
    <row r="434" spans="4:4" x14ac:dyDescent="0.2">
      <c r="D434" s="7"/>
    </row>
    <row r="435" spans="4:4" x14ac:dyDescent="0.2">
      <c r="D435" s="7"/>
    </row>
    <row r="436" spans="4:4" x14ac:dyDescent="0.2">
      <c r="D436" s="7"/>
    </row>
    <row r="437" spans="4:4" x14ac:dyDescent="0.2">
      <c r="D437" s="7"/>
    </row>
    <row r="438" spans="4:4" x14ac:dyDescent="0.2">
      <c r="D438" s="7"/>
    </row>
    <row r="439" spans="4:4" x14ac:dyDescent="0.2">
      <c r="D439" s="7"/>
    </row>
    <row r="440" spans="4:4" x14ac:dyDescent="0.2">
      <c r="D440" s="7"/>
    </row>
    <row r="441" spans="4:4" x14ac:dyDescent="0.2">
      <c r="D441" s="7"/>
    </row>
    <row r="442" spans="4:4" x14ac:dyDescent="0.2">
      <c r="D442" s="7"/>
    </row>
    <row r="443" spans="4:4" x14ac:dyDescent="0.2">
      <c r="D443" s="7"/>
    </row>
    <row r="444" spans="4:4" x14ac:dyDescent="0.2">
      <c r="D444" s="7"/>
    </row>
    <row r="445" spans="4:4" x14ac:dyDescent="0.2">
      <c r="D445" s="7"/>
    </row>
    <row r="446" spans="4:4" x14ac:dyDescent="0.2">
      <c r="D446" s="7"/>
    </row>
    <row r="447" spans="4:4" x14ac:dyDescent="0.2">
      <c r="D447" s="7"/>
    </row>
    <row r="448" spans="4:4" x14ac:dyDescent="0.2">
      <c r="D448" s="7"/>
    </row>
    <row r="449" spans="4:4" x14ac:dyDescent="0.2">
      <c r="D449" s="7"/>
    </row>
    <row r="450" spans="4:4" x14ac:dyDescent="0.2">
      <c r="D450" s="7"/>
    </row>
    <row r="451" spans="4:4" x14ac:dyDescent="0.2">
      <c r="D451" s="7"/>
    </row>
    <row r="452" spans="4:4" x14ac:dyDescent="0.2">
      <c r="D452" s="7"/>
    </row>
    <row r="453" spans="4:4" x14ac:dyDescent="0.2">
      <c r="D453" s="7"/>
    </row>
    <row r="454" spans="4:4" x14ac:dyDescent="0.2">
      <c r="D454" s="7"/>
    </row>
    <row r="455" spans="4:4" x14ac:dyDescent="0.2">
      <c r="D455" s="7"/>
    </row>
    <row r="456" spans="4:4" x14ac:dyDescent="0.2">
      <c r="D456" s="7"/>
    </row>
    <row r="457" spans="4:4" x14ac:dyDescent="0.2">
      <c r="D457" s="7"/>
    </row>
    <row r="458" spans="4:4" x14ac:dyDescent="0.2">
      <c r="D458" s="7"/>
    </row>
    <row r="459" spans="4:4" x14ac:dyDescent="0.2">
      <c r="D459" s="7"/>
    </row>
    <row r="460" spans="4:4" x14ac:dyDescent="0.2">
      <c r="D460" s="7"/>
    </row>
    <row r="461" spans="4:4" x14ac:dyDescent="0.2">
      <c r="D461" s="7"/>
    </row>
    <row r="462" spans="4:4" x14ac:dyDescent="0.2">
      <c r="D462" s="7"/>
    </row>
    <row r="463" spans="4:4" x14ac:dyDescent="0.2">
      <c r="D463" s="7"/>
    </row>
    <row r="464" spans="4:4" x14ac:dyDescent="0.2">
      <c r="D464" s="7"/>
    </row>
    <row r="465" spans="4:4" x14ac:dyDescent="0.2">
      <c r="D465" s="7"/>
    </row>
    <row r="466" spans="4:4" x14ac:dyDescent="0.2">
      <c r="D466" s="7"/>
    </row>
    <row r="467" spans="4:4" x14ac:dyDescent="0.2">
      <c r="D467" s="7"/>
    </row>
    <row r="468" spans="4:4" x14ac:dyDescent="0.2">
      <c r="D468" s="7"/>
    </row>
    <row r="469" spans="4:4" x14ac:dyDescent="0.2">
      <c r="D469" s="7"/>
    </row>
    <row r="470" spans="4:4" x14ac:dyDescent="0.2">
      <c r="D470" s="7"/>
    </row>
    <row r="471" spans="4:4" x14ac:dyDescent="0.2">
      <c r="D471" s="7"/>
    </row>
    <row r="472" spans="4:4" x14ac:dyDescent="0.2">
      <c r="D472" s="7"/>
    </row>
    <row r="473" spans="4:4" x14ac:dyDescent="0.2">
      <c r="D473" s="7"/>
    </row>
    <row r="474" spans="4:4" x14ac:dyDescent="0.2">
      <c r="D474" s="7"/>
    </row>
    <row r="475" spans="4:4" x14ac:dyDescent="0.2">
      <c r="D475" s="7"/>
    </row>
    <row r="476" spans="4:4" x14ac:dyDescent="0.2">
      <c r="D476" s="7"/>
    </row>
    <row r="477" spans="4:4" x14ac:dyDescent="0.2">
      <c r="D477" s="7"/>
    </row>
    <row r="478" spans="4:4" x14ac:dyDescent="0.2">
      <c r="D478" s="7"/>
    </row>
    <row r="479" spans="4:4" x14ac:dyDescent="0.2">
      <c r="D479" s="7"/>
    </row>
    <row r="480" spans="4:4" x14ac:dyDescent="0.2">
      <c r="D480" s="7"/>
    </row>
    <row r="481" spans="4:4" x14ac:dyDescent="0.2">
      <c r="D481" s="7"/>
    </row>
    <row r="482" spans="4:4" x14ac:dyDescent="0.2">
      <c r="D482" s="7"/>
    </row>
    <row r="483" spans="4:4" x14ac:dyDescent="0.2">
      <c r="D483" s="7"/>
    </row>
    <row r="484" spans="4:4" x14ac:dyDescent="0.2">
      <c r="D484" s="7"/>
    </row>
    <row r="485" spans="4:4" x14ac:dyDescent="0.2">
      <c r="D485" s="7"/>
    </row>
    <row r="486" spans="4:4" x14ac:dyDescent="0.2">
      <c r="D486" s="7"/>
    </row>
    <row r="487" spans="4:4" x14ac:dyDescent="0.2">
      <c r="D487" s="7"/>
    </row>
    <row r="488" spans="4:4" x14ac:dyDescent="0.2">
      <c r="D488" s="7"/>
    </row>
    <row r="489" spans="4:4" x14ac:dyDescent="0.2">
      <c r="D489" s="7"/>
    </row>
    <row r="490" spans="4:4" x14ac:dyDescent="0.2">
      <c r="D490" s="7"/>
    </row>
    <row r="491" spans="4:4" x14ac:dyDescent="0.2">
      <c r="D491" s="7"/>
    </row>
    <row r="492" spans="4:4" x14ac:dyDescent="0.2">
      <c r="D492" s="7"/>
    </row>
    <row r="493" spans="4:4" x14ac:dyDescent="0.2">
      <c r="D493" s="7"/>
    </row>
    <row r="494" spans="4:4" x14ac:dyDescent="0.2">
      <c r="D494" s="7"/>
    </row>
    <row r="495" spans="4:4" x14ac:dyDescent="0.2">
      <c r="D495" s="7"/>
    </row>
    <row r="496" spans="4:4" x14ac:dyDescent="0.2">
      <c r="D496" s="7"/>
    </row>
    <row r="497" spans="4:4" x14ac:dyDescent="0.2">
      <c r="D497" s="7"/>
    </row>
    <row r="498" spans="4:4" x14ac:dyDescent="0.2">
      <c r="D498" s="7"/>
    </row>
    <row r="499" spans="4:4" x14ac:dyDescent="0.2">
      <c r="D499" s="7"/>
    </row>
    <row r="500" spans="4:4" x14ac:dyDescent="0.2">
      <c r="D500" s="7"/>
    </row>
    <row r="501" spans="4:4" x14ac:dyDescent="0.2">
      <c r="D501" s="7"/>
    </row>
    <row r="502" spans="4:4" x14ac:dyDescent="0.2">
      <c r="D502" s="7"/>
    </row>
    <row r="503" spans="4:4" x14ac:dyDescent="0.2">
      <c r="D503" s="7"/>
    </row>
    <row r="504" spans="4:4" x14ac:dyDescent="0.2">
      <c r="D504" s="7"/>
    </row>
    <row r="505" spans="4:4" x14ac:dyDescent="0.2">
      <c r="D505" s="7"/>
    </row>
    <row r="506" spans="4:4" x14ac:dyDescent="0.2">
      <c r="D506" s="7"/>
    </row>
    <row r="507" spans="4:4" x14ac:dyDescent="0.2">
      <c r="D507" s="7"/>
    </row>
    <row r="508" spans="4:4" x14ac:dyDescent="0.2">
      <c r="D508" s="7"/>
    </row>
    <row r="509" spans="4:4" x14ac:dyDescent="0.2">
      <c r="D509" s="7"/>
    </row>
    <row r="510" spans="4:4" x14ac:dyDescent="0.2">
      <c r="D510" s="7"/>
    </row>
    <row r="511" spans="4:4" x14ac:dyDescent="0.2">
      <c r="D511" s="7"/>
    </row>
    <row r="512" spans="4:4" x14ac:dyDescent="0.2">
      <c r="D512" s="7"/>
    </row>
    <row r="513" spans="4:4" x14ac:dyDescent="0.2">
      <c r="D513" s="7"/>
    </row>
    <row r="514" spans="4:4" x14ac:dyDescent="0.2">
      <c r="D514" s="7"/>
    </row>
    <row r="515" spans="4:4" x14ac:dyDescent="0.2">
      <c r="D515" s="7"/>
    </row>
    <row r="516" spans="4:4" x14ac:dyDescent="0.2">
      <c r="D516" s="7"/>
    </row>
    <row r="517" spans="4:4" x14ac:dyDescent="0.2">
      <c r="D517" s="7"/>
    </row>
    <row r="518" spans="4:4" x14ac:dyDescent="0.2">
      <c r="D518" s="7"/>
    </row>
    <row r="519" spans="4:4" x14ac:dyDescent="0.2">
      <c r="D519" s="7"/>
    </row>
    <row r="520" spans="4:4" x14ac:dyDescent="0.2">
      <c r="D520" s="7"/>
    </row>
    <row r="521" spans="4:4" x14ac:dyDescent="0.2">
      <c r="D521" s="7"/>
    </row>
    <row r="522" spans="4:4" x14ac:dyDescent="0.2">
      <c r="D522" s="7"/>
    </row>
    <row r="523" spans="4:4" x14ac:dyDescent="0.2">
      <c r="D523" s="7"/>
    </row>
    <row r="524" spans="4:4" x14ac:dyDescent="0.2">
      <c r="D524" s="7"/>
    </row>
    <row r="525" spans="4:4" x14ac:dyDescent="0.2">
      <c r="D525" s="7"/>
    </row>
    <row r="526" spans="4:4" x14ac:dyDescent="0.2">
      <c r="D526" s="7"/>
    </row>
    <row r="527" spans="4:4" x14ac:dyDescent="0.2">
      <c r="D527" s="7"/>
    </row>
    <row r="528" spans="4:4" x14ac:dyDescent="0.2">
      <c r="D528" s="7"/>
    </row>
    <row r="529" spans="4:4" x14ac:dyDescent="0.2">
      <c r="D529" s="7"/>
    </row>
    <row r="530" spans="4:4" x14ac:dyDescent="0.2">
      <c r="D530" s="7"/>
    </row>
    <row r="531" spans="4:4" x14ac:dyDescent="0.2">
      <c r="D531" s="7"/>
    </row>
    <row r="532" spans="4:4" x14ac:dyDescent="0.2">
      <c r="D532" s="7"/>
    </row>
    <row r="533" spans="4:4" x14ac:dyDescent="0.2">
      <c r="D533" s="7"/>
    </row>
    <row r="534" spans="4:4" x14ac:dyDescent="0.2">
      <c r="D534" s="7"/>
    </row>
    <row r="535" spans="4:4" x14ac:dyDescent="0.2">
      <c r="D535" s="7"/>
    </row>
    <row r="536" spans="4:4" x14ac:dyDescent="0.2">
      <c r="D536" s="7"/>
    </row>
    <row r="537" spans="4:4" x14ac:dyDescent="0.2">
      <c r="D537" s="7"/>
    </row>
    <row r="538" spans="4:4" x14ac:dyDescent="0.2">
      <c r="D538" s="7"/>
    </row>
    <row r="539" spans="4:4" x14ac:dyDescent="0.2">
      <c r="D539" s="7"/>
    </row>
    <row r="540" spans="4:4" x14ac:dyDescent="0.2">
      <c r="D540" s="7"/>
    </row>
    <row r="541" spans="4:4" x14ac:dyDescent="0.2">
      <c r="D541" s="7"/>
    </row>
    <row r="542" spans="4:4" x14ac:dyDescent="0.2">
      <c r="D542" s="7"/>
    </row>
    <row r="543" spans="4:4" x14ac:dyDescent="0.2">
      <c r="D543" s="7"/>
    </row>
    <row r="544" spans="4:4" x14ac:dyDescent="0.2">
      <c r="D544" s="7"/>
    </row>
    <row r="545" spans="4:4" x14ac:dyDescent="0.2">
      <c r="D545" s="7"/>
    </row>
    <row r="546" spans="4:4" x14ac:dyDescent="0.2">
      <c r="D546" s="7"/>
    </row>
    <row r="547" spans="4:4" x14ac:dyDescent="0.2">
      <c r="D547" s="7"/>
    </row>
    <row r="548" spans="4:4" x14ac:dyDescent="0.2">
      <c r="D548" s="7"/>
    </row>
    <row r="549" spans="4:4" x14ac:dyDescent="0.2">
      <c r="D549" s="7"/>
    </row>
    <row r="550" spans="4:4" x14ac:dyDescent="0.2">
      <c r="D550" s="7"/>
    </row>
    <row r="551" spans="4:4" x14ac:dyDescent="0.2">
      <c r="D551" s="7"/>
    </row>
    <row r="552" spans="4:4" x14ac:dyDescent="0.2">
      <c r="D552" s="7"/>
    </row>
    <row r="553" spans="4:4" x14ac:dyDescent="0.2">
      <c r="D553" s="7"/>
    </row>
    <row r="554" spans="4:4" x14ac:dyDescent="0.2">
      <c r="D554" s="7"/>
    </row>
    <row r="555" spans="4:4" x14ac:dyDescent="0.2">
      <c r="D555" s="7"/>
    </row>
    <row r="556" spans="4:4" x14ac:dyDescent="0.2">
      <c r="D556" s="7"/>
    </row>
    <row r="557" spans="4:4" x14ac:dyDescent="0.2">
      <c r="D557" s="7"/>
    </row>
    <row r="558" spans="4:4" x14ac:dyDescent="0.2">
      <c r="D558" s="7"/>
    </row>
    <row r="559" spans="4:4" x14ac:dyDescent="0.2">
      <c r="D559" s="7"/>
    </row>
    <row r="560" spans="4:4" x14ac:dyDescent="0.2">
      <c r="D560" s="7"/>
    </row>
    <row r="561" spans="4:4" x14ac:dyDescent="0.2">
      <c r="D561" s="7"/>
    </row>
    <row r="562" spans="4:4" x14ac:dyDescent="0.2">
      <c r="D562" s="7"/>
    </row>
    <row r="563" spans="4:4" x14ac:dyDescent="0.2">
      <c r="D563" s="7"/>
    </row>
    <row r="564" spans="4:4" x14ac:dyDescent="0.2">
      <c r="D564" s="7"/>
    </row>
    <row r="565" spans="4:4" x14ac:dyDescent="0.2">
      <c r="D565" s="7"/>
    </row>
    <row r="566" spans="4:4" x14ac:dyDescent="0.2">
      <c r="D566" s="7"/>
    </row>
    <row r="567" spans="4:4" x14ac:dyDescent="0.2">
      <c r="D567" s="7"/>
    </row>
    <row r="568" spans="4:4" x14ac:dyDescent="0.2">
      <c r="D568" s="7"/>
    </row>
    <row r="569" spans="4:4" x14ac:dyDescent="0.2">
      <c r="D569" s="7"/>
    </row>
    <row r="570" spans="4:4" x14ac:dyDescent="0.2">
      <c r="D570" s="7"/>
    </row>
    <row r="571" spans="4:4" x14ac:dyDescent="0.2">
      <c r="D571" s="7"/>
    </row>
    <row r="572" spans="4:4" x14ac:dyDescent="0.2">
      <c r="D572" s="7"/>
    </row>
    <row r="573" spans="4:4" x14ac:dyDescent="0.2">
      <c r="D573" s="7"/>
    </row>
    <row r="574" spans="4:4" x14ac:dyDescent="0.2">
      <c r="D574" s="7"/>
    </row>
    <row r="575" spans="4:4" x14ac:dyDescent="0.2">
      <c r="D575" s="7"/>
    </row>
    <row r="576" spans="4:4" x14ac:dyDescent="0.2">
      <c r="D576" s="7"/>
    </row>
    <row r="577" spans="4:4" x14ac:dyDescent="0.2">
      <c r="D577" s="7"/>
    </row>
    <row r="578" spans="4:4" x14ac:dyDescent="0.2">
      <c r="D578" s="7"/>
    </row>
    <row r="579" spans="4:4" x14ac:dyDescent="0.2">
      <c r="D579" s="7"/>
    </row>
    <row r="580" spans="4:4" x14ac:dyDescent="0.2">
      <c r="D580" s="7"/>
    </row>
    <row r="581" spans="4:4" x14ac:dyDescent="0.2">
      <c r="D581" s="7"/>
    </row>
    <row r="582" spans="4:4" x14ac:dyDescent="0.2">
      <c r="D582" s="7"/>
    </row>
    <row r="583" spans="4:4" x14ac:dyDescent="0.2">
      <c r="D583" s="7"/>
    </row>
    <row r="584" spans="4:4" x14ac:dyDescent="0.2">
      <c r="D584" s="7"/>
    </row>
    <row r="585" spans="4:4" x14ac:dyDescent="0.2">
      <c r="D585" s="7"/>
    </row>
    <row r="586" spans="4:4" x14ac:dyDescent="0.2">
      <c r="D586" s="7"/>
    </row>
    <row r="587" spans="4:4" x14ac:dyDescent="0.2">
      <c r="D587" s="7"/>
    </row>
    <row r="588" spans="4:4" x14ac:dyDescent="0.2">
      <c r="D588" s="7"/>
    </row>
    <row r="589" spans="4:4" x14ac:dyDescent="0.2">
      <c r="D589" s="7"/>
    </row>
    <row r="590" spans="4:4" x14ac:dyDescent="0.2">
      <c r="D590" s="7"/>
    </row>
    <row r="591" spans="4:4" x14ac:dyDescent="0.2">
      <c r="D591" s="7"/>
    </row>
    <row r="592" spans="4:4" x14ac:dyDescent="0.2">
      <c r="D592" s="7"/>
    </row>
    <row r="593" spans="4:4" x14ac:dyDescent="0.2">
      <c r="D593" s="7"/>
    </row>
    <row r="594" spans="4:4" x14ac:dyDescent="0.2">
      <c r="D594" s="7"/>
    </row>
    <row r="595" spans="4:4" x14ac:dyDescent="0.2">
      <c r="D595" s="7"/>
    </row>
    <row r="596" spans="4:4" x14ac:dyDescent="0.2">
      <c r="D596" s="7"/>
    </row>
    <row r="597" spans="4:4" x14ac:dyDescent="0.2">
      <c r="D597" s="7"/>
    </row>
    <row r="598" spans="4:4" x14ac:dyDescent="0.2">
      <c r="D598" s="7"/>
    </row>
    <row r="599" spans="4:4" x14ac:dyDescent="0.2">
      <c r="D599" s="7"/>
    </row>
    <row r="600" spans="4:4" x14ac:dyDescent="0.2">
      <c r="D600" s="7"/>
    </row>
    <row r="601" spans="4:4" x14ac:dyDescent="0.2">
      <c r="D601" s="7"/>
    </row>
    <row r="602" spans="4:4" x14ac:dyDescent="0.2">
      <c r="D602" s="7"/>
    </row>
    <row r="603" spans="4:4" x14ac:dyDescent="0.2">
      <c r="D603" s="7"/>
    </row>
    <row r="604" spans="4:4" x14ac:dyDescent="0.2">
      <c r="D604" s="7"/>
    </row>
    <row r="605" spans="4:4" x14ac:dyDescent="0.2">
      <c r="D605" s="7"/>
    </row>
    <row r="606" spans="4:4" x14ac:dyDescent="0.2">
      <c r="D606" s="7"/>
    </row>
    <row r="607" spans="4:4" x14ac:dyDescent="0.2">
      <c r="D607" s="7"/>
    </row>
    <row r="608" spans="4:4" x14ac:dyDescent="0.2">
      <c r="D608" s="7"/>
    </row>
    <row r="609" spans="4:4" x14ac:dyDescent="0.2">
      <c r="D609" s="7"/>
    </row>
    <row r="610" spans="4:4" x14ac:dyDescent="0.2">
      <c r="D610" s="7"/>
    </row>
    <row r="611" spans="4:4" x14ac:dyDescent="0.2">
      <c r="D611" s="7"/>
    </row>
    <row r="612" spans="4:4" x14ac:dyDescent="0.2">
      <c r="D612" s="7"/>
    </row>
    <row r="613" spans="4:4" x14ac:dyDescent="0.2">
      <c r="D613" s="7"/>
    </row>
    <row r="614" spans="4:4" x14ac:dyDescent="0.2">
      <c r="D614" s="7"/>
    </row>
    <row r="615" spans="4:4" x14ac:dyDescent="0.2">
      <c r="D615" s="7"/>
    </row>
    <row r="616" spans="4:4" x14ac:dyDescent="0.2">
      <c r="D616" s="7"/>
    </row>
    <row r="617" spans="4:4" x14ac:dyDescent="0.2">
      <c r="D617" s="7"/>
    </row>
    <row r="618" spans="4:4" x14ac:dyDescent="0.2">
      <c r="D618" s="7"/>
    </row>
    <row r="619" spans="4:4" x14ac:dyDescent="0.2">
      <c r="D619" s="7"/>
    </row>
    <row r="620" spans="4:4" x14ac:dyDescent="0.2">
      <c r="D620" s="7"/>
    </row>
    <row r="621" spans="4:4" x14ac:dyDescent="0.2">
      <c r="D621" s="7"/>
    </row>
    <row r="622" spans="4:4" x14ac:dyDescent="0.2">
      <c r="D622" s="7"/>
    </row>
    <row r="623" spans="4:4" x14ac:dyDescent="0.2">
      <c r="D623" s="7"/>
    </row>
    <row r="624" spans="4:4" x14ac:dyDescent="0.2">
      <c r="D624" s="7"/>
    </row>
    <row r="625" spans="4:4" x14ac:dyDescent="0.2">
      <c r="D625" s="7"/>
    </row>
    <row r="626" spans="4:4" x14ac:dyDescent="0.2">
      <c r="D626" s="7"/>
    </row>
    <row r="627" spans="4:4" x14ac:dyDescent="0.2">
      <c r="D627" s="7"/>
    </row>
    <row r="628" spans="4:4" x14ac:dyDescent="0.2">
      <c r="D628" s="7"/>
    </row>
    <row r="629" spans="4:4" x14ac:dyDescent="0.2">
      <c r="D629" s="7"/>
    </row>
    <row r="630" spans="4:4" x14ac:dyDescent="0.2">
      <c r="D630" s="7"/>
    </row>
    <row r="631" spans="4:4" x14ac:dyDescent="0.2">
      <c r="D631" s="7"/>
    </row>
    <row r="632" spans="4:4" x14ac:dyDescent="0.2">
      <c r="D632" s="7"/>
    </row>
    <row r="633" spans="4:4" x14ac:dyDescent="0.2">
      <c r="D633" s="7"/>
    </row>
    <row r="634" spans="4:4" x14ac:dyDescent="0.2">
      <c r="D634" s="7"/>
    </row>
    <row r="635" spans="4:4" x14ac:dyDescent="0.2">
      <c r="D635" s="7"/>
    </row>
    <row r="636" spans="4:4" x14ac:dyDescent="0.2">
      <c r="D636" s="7"/>
    </row>
    <row r="637" spans="4:4" x14ac:dyDescent="0.2">
      <c r="D637" s="7"/>
    </row>
    <row r="638" spans="4:4" x14ac:dyDescent="0.2">
      <c r="D638" s="7"/>
    </row>
    <row r="639" spans="4:4" x14ac:dyDescent="0.2">
      <c r="D639" s="7"/>
    </row>
    <row r="640" spans="4:4" x14ac:dyDescent="0.2">
      <c r="D640" s="7"/>
    </row>
    <row r="641" spans="4:4" x14ac:dyDescent="0.2">
      <c r="D641" s="7"/>
    </row>
    <row r="642" spans="4:4" x14ac:dyDescent="0.2">
      <c r="D642" s="7"/>
    </row>
    <row r="643" spans="4:4" x14ac:dyDescent="0.2">
      <c r="D643" s="7"/>
    </row>
    <row r="644" spans="4:4" x14ac:dyDescent="0.2">
      <c r="D644" s="7"/>
    </row>
    <row r="645" spans="4:4" x14ac:dyDescent="0.2">
      <c r="D645" s="7"/>
    </row>
    <row r="646" spans="4:4" x14ac:dyDescent="0.2">
      <c r="D646" s="7"/>
    </row>
    <row r="647" spans="4:4" x14ac:dyDescent="0.2">
      <c r="D647" s="7"/>
    </row>
    <row r="648" spans="4:4" x14ac:dyDescent="0.2">
      <c r="D648" s="7"/>
    </row>
    <row r="649" spans="4:4" x14ac:dyDescent="0.2">
      <c r="D649" s="7"/>
    </row>
    <row r="650" spans="4:4" x14ac:dyDescent="0.2">
      <c r="D650" s="7"/>
    </row>
    <row r="651" spans="4:4" x14ac:dyDescent="0.2">
      <c r="D651" s="7"/>
    </row>
    <row r="652" spans="4:4" x14ac:dyDescent="0.2">
      <c r="D652" s="7"/>
    </row>
    <row r="653" spans="4:4" x14ac:dyDescent="0.2">
      <c r="D653" s="7"/>
    </row>
    <row r="654" spans="4:4" x14ac:dyDescent="0.2">
      <c r="D654" s="7"/>
    </row>
    <row r="655" spans="4:4" x14ac:dyDescent="0.2">
      <c r="D655" s="7"/>
    </row>
    <row r="656" spans="4:4" x14ac:dyDescent="0.2">
      <c r="D656" s="7"/>
    </row>
    <row r="657" spans="4:4" x14ac:dyDescent="0.2">
      <c r="D657" s="7"/>
    </row>
    <row r="658" spans="4:4" x14ac:dyDescent="0.2">
      <c r="D658" s="7"/>
    </row>
    <row r="659" spans="4:4" x14ac:dyDescent="0.2">
      <c r="D659" s="7"/>
    </row>
    <row r="660" spans="4:4" x14ac:dyDescent="0.2">
      <c r="D660" s="7"/>
    </row>
    <row r="661" spans="4:4" x14ac:dyDescent="0.2">
      <c r="D661" s="7"/>
    </row>
    <row r="662" spans="4:4" x14ac:dyDescent="0.2">
      <c r="D662" s="7"/>
    </row>
    <row r="663" spans="4:4" x14ac:dyDescent="0.2">
      <c r="D663" s="7"/>
    </row>
    <row r="664" spans="4:4" x14ac:dyDescent="0.2">
      <c r="D664" s="7"/>
    </row>
    <row r="665" spans="4:4" x14ac:dyDescent="0.2">
      <c r="D665" s="7"/>
    </row>
    <row r="666" spans="4:4" x14ac:dyDescent="0.2">
      <c r="D666" s="7"/>
    </row>
    <row r="667" spans="4:4" x14ac:dyDescent="0.2">
      <c r="D667" s="7"/>
    </row>
    <row r="668" spans="4:4" x14ac:dyDescent="0.2">
      <c r="D668" s="7"/>
    </row>
    <row r="669" spans="4:4" x14ac:dyDescent="0.2">
      <c r="D669" s="7"/>
    </row>
    <row r="670" spans="4:4" x14ac:dyDescent="0.2">
      <c r="D670" s="7"/>
    </row>
    <row r="671" spans="4:4" x14ac:dyDescent="0.2">
      <c r="D671" s="7"/>
    </row>
    <row r="672" spans="4:4" x14ac:dyDescent="0.2">
      <c r="D672" s="7"/>
    </row>
    <row r="673" spans="4:4" x14ac:dyDescent="0.2">
      <c r="D673" s="7"/>
    </row>
    <row r="674" spans="4:4" x14ac:dyDescent="0.2">
      <c r="D674" s="7"/>
    </row>
    <row r="675" spans="4:4" x14ac:dyDescent="0.2">
      <c r="D675" s="7"/>
    </row>
    <row r="676" spans="4:4" x14ac:dyDescent="0.2">
      <c r="D676" s="7"/>
    </row>
    <row r="677" spans="4:4" x14ac:dyDescent="0.2">
      <c r="D677" s="7"/>
    </row>
    <row r="678" spans="4:4" x14ac:dyDescent="0.2">
      <c r="D678" s="7"/>
    </row>
    <row r="679" spans="4:4" x14ac:dyDescent="0.2">
      <c r="D679" s="7"/>
    </row>
    <row r="680" spans="4:4" x14ac:dyDescent="0.2">
      <c r="D680" s="7"/>
    </row>
    <row r="681" spans="4:4" x14ac:dyDescent="0.2">
      <c r="D681" s="7"/>
    </row>
    <row r="682" spans="4:4" x14ac:dyDescent="0.2">
      <c r="D682" s="7"/>
    </row>
    <row r="683" spans="4:4" x14ac:dyDescent="0.2">
      <c r="D683" s="7"/>
    </row>
    <row r="684" spans="4:4" x14ac:dyDescent="0.2">
      <c r="D684" s="7"/>
    </row>
    <row r="685" spans="4:4" x14ac:dyDescent="0.2">
      <c r="D685" s="7"/>
    </row>
    <row r="686" spans="4:4" x14ac:dyDescent="0.2">
      <c r="D686" s="7"/>
    </row>
    <row r="687" spans="4:4" x14ac:dyDescent="0.2">
      <c r="D687" s="7"/>
    </row>
    <row r="688" spans="4:4" x14ac:dyDescent="0.2">
      <c r="D688" s="7"/>
    </row>
    <row r="689" spans="4:4" x14ac:dyDescent="0.2">
      <c r="D689" s="7"/>
    </row>
    <row r="690" spans="4:4" x14ac:dyDescent="0.2">
      <c r="D690" s="7"/>
    </row>
    <row r="691" spans="4:4" x14ac:dyDescent="0.2">
      <c r="D691" s="7"/>
    </row>
    <row r="692" spans="4:4" x14ac:dyDescent="0.2">
      <c r="D692" s="7"/>
    </row>
    <row r="693" spans="4:4" x14ac:dyDescent="0.2">
      <c r="D693" s="7"/>
    </row>
    <row r="694" spans="4:4" x14ac:dyDescent="0.2">
      <c r="D694" s="7"/>
    </row>
    <row r="695" spans="4:4" x14ac:dyDescent="0.2">
      <c r="D695" s="7"/>
    </row>
    <row r="696" spans="4:4" x14ac:dyDescent="0.2">
      <c r="D696" s="7"/>
    </row>
    <row r="697" spans="4:4" x14ac:dyDescent="0.2">
      <c r="D697" s="7"/>
    </row>
    <row r="698" spans="4:4" x14ac:dyDescent="0.2">
      <c r="D698" s="7"/>
    </row>
    <row r="699" spans="4:4" x14ac:dyDescent="0.2">
      <c r="D699" s="7"/>
    </row>
    <row r="700" spans="4:4" x14ac:dyDescent="0.2">
      <c r="D700" s="7"/>
    </row>
    <row r="701" spans="4:4" x14ac:dyDescent="0.2">
      <c r="D701" s="7"/>
    </row>
    <row r="702" spans="4:4" x14ac:dyDescent="0.2">
      <c r="D702" s="7"/>
    </row>
    <row r="703" spans="4:4" x14ac:dyDescent="0.2">
      <c r="D703" s="7"/>
    </row>
    <row r="704" spans="4:4" x14ac:dyDescent="0.2">
      <c r="D704" s="7"/>
    </row>
    <row r="705" spans="4:4" x14ac:dyDescent="0.2">
      <c r="D705" s="7"/>
    </row>
    <row r="706" spans="4:4" x14ac:dyDescent="0.2">
      <c r="D706" s="7"/>
    </row>
    <row r="707" spans="4:4" x14ac:dyDescent="0.2">
      <c r="D707" s="7"/>
    </row>
    <row r="708" spans="4:4" x14ac:dyDescent="0.2">
      <c r="D708" s="7"/>
    </row>
    <row r="709" spans="4:4" x14ac:dyDescent="0.2">
      <c r="D709" s="7"/>
    </row>
    <row r="710" spans="4:4" x14ac:dyDescent="0.2">
      <c r="D710" s="7"/>
    </row>
    <row r="711" spans="4:4" x14ac:dyDescent="0.2">
      <c r="D711" s="7"/>
    </row>
    <row r="712" spans="4:4" x14ac:dyDescent="0.2">
      <c r="D712" s="7"/>
    </row>
    <row r="713" spans="4:4" x14ac:dyDescent="0.2">
      <c r="D713" s="7"/>
    </row>
    <row r="714" spans="4:4" x14ac:dyDescent="0.2">
      <c r="D714" s="7"/>
    </row>
    <row r="715" spans="4:4" x14ac:dyDescent="0.2">
      <c r="D715" s="7"/>
    </row>
    <row r="716" spans="4:4" x14ac:dyDescent="0.2">
      <c r="D716" s="7"/>
    </row>
    <row r="717" spans="4:4" x14ac:dyDescent="0.2">
      <c r="D717" s="7"/>
    </row>
    <row r="718" spans="4:4" x14ac:dyDescent="0.2">
      <c r="D718" s="7"/>
    </row>
    <row r="719" spans="4:4" x14ac:dyDescent="0.2">
      <c r="D719" s="7"/>
    </row>
    <row r="720" spans="4:4" x14ac:dyDescent="0.2">
      <c r="D720" s="7"/>
    </row>
    <row r="721" spans="4:4" x14ac:dyDescent="0.2">
      <c r="D721" s="7"/>
    </row>
    <row r="722" spans="4:4" x14ac:dyDescent="0.2">
      <c r="D722" s="7"/>
    </row>
    <row r="723" spans="4:4" x14ac:dyDescent="0.2">
      <c r="D723" s="7"/>
    </row>
    <row r="724" spans="4:4" x14ac:dyDescent="0.2">
      <c r="D724" s="7"/>
    </row>
    <row r="725" spans="4:4" x14ac:dyDescent="0.2">
      <c r="D725" s="7"/>
    </row>
    <row r="726" spans="4:4" x14ac:dyDescent="0.2">
      <c r="D726" s="7"/>
    </row>
    <row r="727" spans="4:4" x14ac:dyDescent="0.2">
      <c r="D727" s="7"/>
    </row>
    <row r="728" spans="4:4" x14ac:dyDescent="0.2">
      <c r="D728" s="7"/>
    </row>
    <row r="729" spans="4:4" x14ac:dyDescent="0.2">
      <c r="D729" s="7"/>
    </row>
    <row r="730" spans="4:4" x14ac:dyDescent="0.2">
      <c r="D730" s="7"/>
    </row>
    <row r="731" spans="4:4" x14ac:dyDescent="0.2">
      <c r="D731" s="7"/>
    </row>
    <row r="732" spans="4:4" x14ac:dyDescent="0.2">
      <c r="D732" s="7"/>
    </row>
    <row r="733" spans="4:4" x14ac:dyDescent="0.2">
      <c r="D733" s="7"/>
    </row>
    <row r="734" spans="4:4" x14ac:dyDescent="0.2">
      <c r="D734" s="7"/>
    </row>
    <row r="735" spans="4:4" x14ac:dyDescent="0.2">
      <c r="D735" s="7"/>
    </row>
    <row r="736" spans="4:4" x14ac:dyDescent="0.2">
      <c r="D736" s="7"/>
    </row>
    <row r="737" spans="4:4" x14ac:dyDescent="0.2">
      <c r="D737" s="7"/>
    </row>
    <row r="738" spans="4:4" x14ac:dyDescent="0.2">
      <c r="D738" s="7"/>
    </row>
    <row r="739" spans="4:4" x14ac:dyDescent="0.2">
      <c r="D739" s="7"/>
    </row>
    <row r="740" spans="4:4" x14ac:dyDescent="0.2">
      <c r="D740" s="7"/>
    </row>
    <row r="741" spans="4:4" x14ac:dyDescent="0.2">
      <c r="D741" s="7"/>
    </row>
    <row r="742" spans="4:4" x14ac:dyDescent="0.2">
      <c r="D742" s="7"/>
    </row>
    <row r="743" spans="4:4" x14ac:dyDescent="0.2">
      <c r="D743" s="7"/>
    </row>
    <row r="744" spans="4:4" x14ac:dyDescent="0.2">
      <c r="D744" s="7"/>
    </row>
    <row r="745" spans="4:4" x14ac:dyDescent="0.2">
      <c r="D745" s="7"/>
    </row>
    <row r="746" spans="4:4" x14ac:dyDescent="0.2">
      <c r="D746" s="7"/>
    </row>
    <row r="747" spans="4:4" x14ac:dyDescent="0.2">
      <c r="D747" s="7"/>
    </row>
    <row r="748" spans="4:4" x14ac:dyDescent="0.2">
      <c r="D748" s="7"/>
    </row>
    <row r="749" spans="4:4" x14ac:dyDescent="0.2">
      <c r="D749" s="7"/>
    </row>
    <row r="750" spans="4:4" x14ac:dyDescent="0.2">
      <c r="D750" s="7"/>
    </row>
    <row r="751" spans="4:4" x14ac:dyDescent="0.2">
      <c r="D751" s="7"/>
    </row>
    <row r="752" spans="4:4" x14ac:dyDescent="0.2">
      <c r="D752" s="7"/>
    </row>
    <row r="753" spans="4:4" x14ac:dyDescent="0.2">
      <c r="D753" s="7"/>
    </row>
    <row r="754" spans="4:4" x14ac:dyDescent="0.2">
      <c r="D754" s="7"/>
    </row>
    <row r="755" spans="4:4" x14ac:dyDescent="0.2">
      <c r="D755" s="7"/>
    </row>
    <row r="756" spans="4:4" x14ac:dyDescent="0.2">
      <c r="D756" s="7"/>
    </row>
    <row r="757" spans="4:4" x14ac:dyDescent="0.2">
      <c r="D757" s="7"/>
    </row>
    <row r="758" spans="4:4" x14ac:dyDescent="0.2">
      <c r="D758" s="7"/>
    </row>
    <row r="759" spans="4:4" x14ac:dyDescent="0.2">
      <c r="D759" s="7"/>
    </row>
    <row r="760" spans="4:4" x14ac:dyDescent="0.2">
      <c r="D760" s="7"/>
    </row>
    <row r="761" spans="4:4" x14ac:dyDescent="0.2">
      <c r="D761" s="7"/>
    </row>
    <row r="762" spans="4:4" x14ac:dyDescent="0.2">
      <c r="D762" s="7"/>
    </row>
    <row r="763" spans="4:4" x14ac:dyDescent="0.2">
      <c r="D763" s="7"/>
    </row>
    <row r="764" spans="4:4" x14ac:dyDescent="0.2">
      <c r="D764" s="7"/>
    </row>
    <row r="765" spans="4:4" x14ac:dyDescent="0.2">
      <c r="D765" s="7"/>
    </row>
    <row r="766" spans="4:4" x14ac:dyDescent="0.2">
      <c r="D766" s="7"/>
    </row>
    <row r="767" spans="4:4" x14ac:dyDescent="0.2">
      <c r="D767" s="7"/>
    </row>
    <row r="768" spans="4:4" x14ac:dyDescent="0.2">
      <c r="D768" s="7"/>
    </row>
    <row r="769" spans="4:4" x14ac:dyDescent="0.2">
      <c r="D769" s="7"/>
    </row>
    <row r="770" spans="4:4" x14ac:dyDescent="0.2">
      <c r="D770" s="7"/>
    </row>
    <row r="771" spans="4:4" x14ac:dyDescent="0.2">
      <c r="D771" s="7"/>
    </row>
    <row r="772" spans="4:4" x14ac:dyDescent="0.2">
      <c r="D772" s="7"/>
    </row>
    <row r="773" spans="4:4" x14ac:dyDescent="0.2">
      <c r="D773" s="7"/>
    </row>
    <row r="774" spans="4:4" x14ac:dyDescent="0.2">
      <c r="D774" s="7"/>
    </row>
    <row r="775" spans="4:4" x14ac:dyDescent="0.2">
      <c r="D775" s="7"/>
    </row>
    <row r="776" spans="4:4" x14ac:dyDescent="0.2">
      <c r="D776" s="7"/>
    </row>
    <row r="777" spans="4:4" x14ac:dyDescent="0.2">
      <c r="D777" s="7"/>
    </row>
    <row r="778" spans="4:4" x14ac:dyDescent="0.2">
      <c r="D778" s="7"/>
    </row>
    <row r="779" spans="4:4" x14ac:dyDescent="0.2">
      <c r="D779" s="7"/>
    </row>
    <row r="780" spans="4:4" x14ac:dyDescent="0.2">
      <c r="D780" s="7"/>
    </row>
    <row r="781" spans="4:4" x14ac:dyDescent="0.2">
      <c r="D781" s="7"/>
    </row>
    <row r="782" spans="4:4" x14ac:dyDescent="0.2">
      <c r="D782" s="7"/>
    </row>
    <row r="783" spans="4:4" x14ac:dyDescent="0.2">
      <c r="D783" s="7"/>
    </row>
    <row r="784" spans="4:4" x14ac:dyDescent="0.2">
      <c r="D784" s="7"/>
    </row>
    <row r="785" spans="4:4" x14ac:dyDescent="0.2">
      <c r="D785" s="7"/>
    </row>
    <row r="786" spans="4:4" x14ac:dyDescent="0.2">
      <c r="D786" s="7"/>
    </row>
    <row r="787" spans="4:4" x14ac:dyDescent="0.2">
      <c r="D787" s="7"/>
    </row>
    <row r="788" spans="4:4" x14ac:dyDescent="0.2">
      <c r="D788" s="7"/>
    </row>
    <row r="789" spans="4:4" x14ac:dyDescent="0.2">
      <c r="D789" s="7"/>
    </row>
    <row r="790" spans="4:4" x14ac:dyDescent="0.2">
      <c r="D790" s="7"/>
    </row>
    <row r="791" spans="4:4" x14ac:dyDescent="0.2">
      <c r="D791" s="7"/>
    </row>
    <row r="792" spans="4:4" x14ac:dyDescent="0.2">
      <c r="D792" s="7"/>
    </row>
    <row r="793" spans="4:4" x14ac:dyDescent="0.2">
      <c r="D793" s="7"/>
    </row>
    <row r="794" spans="4:4" x14ac:dyDescent="0.2">
      <c r="D794" s="7"/>
    </row>
    <row r="795" spans="4:4" x14ac:dyDescent="0.2">
      <c r="D795" s="7"/>
    </row>
    <row r="796" spans="4:4" x14ac:dyDescent="0.2">
      <c r="D796" s="7"/>
    </row>
    <row r="797" spans="4:4" x14ac:dyDescent="0.2">
      <c r="D797" s="7"/>
    </row>
    <row r="798" spans="4:4" x14ac:dyDescent="0.2">
      <c r="D798" s="7"/>
    </row>
    <row r="799" spans="4:4" x14ac:dyDescent="0.2">
      <c r="D799" s="7"/>
    </row>
    <row r="800" spans="4:4" x14ac:dyDescent="0.2">
      <c r="D800" s="7"/>
    </row>
    <row r="801" spans="4:4" x14ac:dyDescent="0.2">
      <c r="D801" s="7"/>
    </row>
    <row r="802" spans="4:4" x14ac:dyDescent="0.2">
      <c r="D802" s="7"/>
    </row>
    <row r="803" spans="4:4" x14ac:dyDescent="0.2">
      <c r="D803" s="7"/>
    </row>
    <row r="804" spans="4:4" x14ac:dyDescent="0.2">
      <c r="D804" s="7"/>
    </row>
    <row r="805" spans="4:4" x14ac:dyDescent="0.2">
      <c r="D805" s="7"/>
    </row>
    <row r="806" spans="4:4" x14ac:dyDescent="0.2">
      <c r="D806" s="7"/>
    </row>
    <row r="807" spans="4:4" x14ac:dyDescent="0.2">
      <c r="D807" s="7"/>
    </row>
    <row r="808" spans="4:4" x14ac:dyDescent="0.2">
      <c r="D808" s="7"/>
    </row>
    <row r="809" spans="4:4" x14ac:dyDescent="0.2">
      <c r="D809" s="7"/>
    </row>
    <row r="810" spans="4:4" x14ac:dyDescent="0.2">
      <c r="D810" s="7"/>
    </row>
    <row r="811" spans="4:4" x14ac:dyDescent="0.2">
      <c r="D811" s="7"/>
    </row>
    <row r="812" spans="4:4" x14ac:dyDescent="0.2">
      <c r="D812" s="7"/>
    </row>
    <row r="813" spans="4:4" x14ac:dyDescent="0.2">
      <c r="D813" s="7"/>
    </row>
    <row r="814" spans="4:4" x14ac:dyDescent="0.2">
      <c r="D814" s="7"/>
    </row>
    <row r="815" spans="4:4" x14ac:dyDescent="0.2">
      <c r="D815" s="7"/>
    </row>
    <row r="816" spans="4:4" x14ac:dyDescent="0.2">
      <c r="D816" s="7"/>
    </row>
    <row r="817" spans="4:4" x14ac:dyDescent="0.2">
      <c r="D817" s="7"/>
    </row>
    <row r="818" spans="4:4" x14ac:dyDescent="0.2">
      <c r="D818" s="7"/>
    </row>
    <row r="819" spans="4:4" x14ac:dyDescent="0.2">
      <c r="D819" s="7"/>
    </row>
    <row r="820" spans="4:4" x14ac:dyDescent="0.2">
      <c r="D820" s="7"/>
    </row>
    <row r="821" spans="4:4" x14ac:dyDescent="0.2">
      <c r="D821" s="7"/>
    </row>
    <row r="822" spans="4:4" x14ac:dyDescent="0.2">
      <c r="D822" s="7"/>
    </row>
    <row r="823" spans="4:4" x14ac:dyDescent="0.2">
      <c r="D823" s="7"/>
    </row>
    <row r="824" spans="4:4" x14ac:dyDescent="0.2">
      <c r="D824" s="7"/>
    </row>
    <row r="825" spans="4:4" x14ac:dyDescent="0.2">
      <c r="D825" s="7"/>
    </row>
    <row r="826" spans="4:4" x14ac:dyDescent="0.2">
      <c r="D826" s="7"/>
    </row>
    <row r="827" spans="4:4" x14ac:dyDescent="0.2">
      <c r="D827" s="7"/>
    </row>
    <row r="828" spans="4:4" x14ac:dyDescent="0.2">
      <c r="D828" s="7"/>
    </row>
    <row r="829" spans="4:4" x14ac:dyDescent="0.2">
      <c r="D829" s="7"/>
    </row>
    <row r="830" spans="4:4" x14ac:dyDescent="0.2">
      <c r="D830" s="7"/>
    </row>
    <row r="831" spans="4:4" x14ac:dyDescent="0.2">
      <c r="D831" s="7"/>
    </row>
    <row r="832" spans="4:4" x14ac:dyDescent="0.2">
      <c r="D832" s="7"/>
    </row>
    <row r="833" spans="4:4" x14ac:dyDescent="0.2">
      <c r="D833" s="7"/>
    </row>
    <row r="834" spans="4:4" x14ac:dyDescent="0.2">
      <c r="D834" s="7"/>
    </row>
    <row r="835" spans="4:4" x14ac:dyDescent="0.2">
      <c r="D835" s="7"/>
    </row>
    <row r="836" spans="4:4" x14ac:dyDescent="0.2">
      <c r="D836" s="7"/>
    </row>
    <row r="837" spans="4:4" x14ac:dyDescent="0.2">
      <c r="D837" s="7"/>
    </row>
    <row r="838" spans="4:4" x14ac:dyDescent="0.2">
      <c r="D838" s="7"/>
    </row>
    <row r="839" spans="4:4" x14ac:dyDescent="0.2">
      <c r="D839" s="7"/>
    </row>
    <row r="840" spans="4:4" x14ac:dyDescent="0.2">
      <c r="D840" s="7"/>
    </row>
    <row r="841" spans="4:4" x14ac:dyDescent="0.2">
      <c r="D841" s="7"/>
    </row>
    <row r="842" spans="4:4" x14ac:dyDescent="0.2">
      <c r="D842" s="7"/>
    </row>
    <row r="843" spans="4:4" x14ac:dyDescent="0.2">
      <c r="D843" s="7"/>
    </row>
    <row r="844" spans="4:4" x14ac:dyDescent="0.2">
      <c r="D844" s="7"/>
    </row>
    <row r="845" spans="4:4" x14ac:dyDescent="0.2">
      <c r="D845" s="7"/>
    </row>
    <row r="846" spans="4:4" x14ac:dyDescent="0.2">
      <c r="D846" s="7"/>
    </row>
    <row r="847" spans="4:4" x14ac:dyDescent="0.2">
      <c r="D847" s="7"/>
    </row>
    <row r="848" spans="4:4" x14ac:dyDescent="0.2">
      <c r="D848" s="7"/>
    </row>
    <row r="849" spans="4:4" x14ac:dyDescent="0.2">
      <c r="D849" s="7"/>
    </row>
    <row r="850" spans="4:4" x14ac:dyDescent="0.2">
      <c r="D850" s="7"/>
    </row>
    <row r="851" spans="4:4" x14ac:dyDescent="0.2">
      <c r="D851" s="7"/>
    </row>
    <row r="852" spans="4:4" x14ac:dyDescent="0.2">
      <c r="D852" s="7"/>
    </row>
    <row r="853" spans="4:4" x14ac:dyDescent="0.2">
      <c r="D853" s="7"/>
    </row>
    <row r="854" spans="4:4" x14ac:dyDescent="0.2">
      <c r="D854" s="7"/>
    </row>
    <row r="855" spans="4:4" x14ac:dyDescent="0.2">
      <c r="D855" s="7"/>
    </row>
    <row r="856" spans="4:4" x14ac:dyDescent="0.2">
      <c r="D856" s="7"/>
    </row>
    <row r="857" spans="4:4" x14ac:dyDescent="0.2">
      <c r="D857" s="7"/>
    </row>
    <row r="858" spans="4:4" x14ac:dyDescent="0.2">
      <c r="D858" s="7"/>
    </row>
    <row r="859" spans="4:4" x14ac:dyDescent="0.2">
      <c r="D859" s="7"/>
    </row>
    <row r="860" spans="4:4" x14ac:dyDescent="0.2">
      <c r="D860" s="7"/>
    </row>
    <row r="861" spans="4:4" x14ac:dyDescent="0.2">
      <c r="D861" s="7"/>
    </row>
    <row r="862" spans="4:4" x14ac:dyDescent="0.2">
      <c r="D862" s="7"/>
    </row>
    <row r="863" spans="4:4" x14ac:dyDescent="0.2">
      <c r="D863" s="7"/>
    </row>
    <row r="864" spans="4:4" x14ac:dyDescent="0.2">
      <c r="D864" s="7"/>
    </row>
    <row r="865" spans="4:4" x14ac:dyDescent="0.2">
      <c r="D865" s="7"/>
    </row>
    <row r="866" spans="4:4" x14ac:dyDescent="0.2">
      <c r="D866" s="7"/>
    </row>
    <row r="867" spans="4:4" x14ac:dyDescent="0.2">
      <c r="D867" s="7"/>
    </row>
    <row r="868" spans="4:4" x14ac:dyDescent="0.2">
      <c r="D868" s="7"/>
    </row>
    <row r="869" spans="4:4" x14ac:dyDescent="0.2">
      <c r="D869" s="7"/>
    </row>
    <row r="870" spans="4:4" x14ac:dyDescent="0.2">
      <c r="D870" s="7"/>
    </row>
    <row r="871" spans="4:4" x14ac:dyDescent="0.2">
      <c r="D871" s="7"/>
    </row>
    <row r="872" spans="4:4" x14ac:dyDescent="0.2">
      <c r="D872" s="7"/>
    </row>
    <row r="873" spans="4:4" x14ac:dyDescent="0.2">
      <c r="D873" s="7"/>
    </row>
    <row r="874" spans="4:4" x14ac:dyDescent="0.2">
      <c r="D874" s="7"/>
    </row>
    <row r="875" spans="4:4" x14ac:dyDescent="0.2">
      <c r="D875" s="7"/>
    </row>
    <row r="876" spans="4:4" x14ac:dyDescent="0.2">
      <c r="D876" s="7"/>
    </row>
    <row r="877" spans="4:4" x14ac:dyDescent="0.2">
      <c r="D877" s="7"/>
    </row>
    <row r="878" spans="4:4" x14ac:dyDescent="0.2">
      <c r="D878" s="7"/>
    </row>
    <row r="879" spans="4:4" x14ac:dyDescent="0.2">
      <c r="D879" s="7"/>
    </row>
    <row r="880" spans="4:4" x14ac:dyDescent="0.2">
      <c r="D880" s="7"/>
    </row>
    <row r="881" spans="4:4" x14ac:dyDescent="0.2">
      <c r="D881" s="7"/>
    </row>
    <row r="882" spans="4:4" x14ac:dyDescent="0.2">
      <c r="D882" s="7"/>
    </row>
    <row r="883" spans="4:4" x14ac:dyDescent="0.2">
      <c r="D883" s="7"/>
    </row>
    <row r="884" spans="4:4" x14ac:dyDescent="0.2">
      <c r="D884" s="7"/>
    </row>
    <row r="885" spans="4:4" x14ac:dyDescent="0.2">
      <c r="D885" s="7"/>
    </row>
    <row r="886" spans="4:4" x14ac:dyDescent="0.2">
      <c r="D886" s="7"/>
    </row>
    <row r="887" spans="4:4" x14ac:dyDescent="0.2">
      <c r="D887" s="7"/>
    </row>
    <row r="888" spans="4:4" x14ac:dyDescent="0.2">
      <c r="D888" s="7"/>
    </row>
    <row r="889" spans="4:4" x14ac:dyDescent="0.2">
      <c r="D889" s="7"/>
    </row>
    <row r="890" spans="4:4" x14ac:dyDescent="0.2">
      <c r="D890" s="7"/>
    </row>
    <row r="891" spans="4:4" x14ac:dyDescent="0.2">
      <c r="D891" s="7"/>
    </row>
    <row r="892" spans="4:4" x14ac:dyDescent="0.2">
      <c r="D892" s="7"/>
    </row>
    <row r="893" spans="4:4" x14ac:dyDescent="0.2">
      <c r="D893" s="7"/>
    </row>
    <row r="894" spans="4:4" x14ac:dyDescent="0.2">
      <c r="D894" s="7"/>
    </row>
    <row r="895" spans="4:4" x14ac:dyDescent="0.2">
      <c r="D895" s="7"/>
    </row>
    <row r="896" spans="4:4" x14ac:dyDescent="0.2">
      <c r="D896" s="7"/>
    </row>
    <row r="897" spans="4:4" x14ac:dyDescent="0.2">
      <c r="D897" s="7"/>
    </row>
    <row r="898" spans="4:4" x14ac:dyDescent="0.2">
      <c r="D898" s="7"/>
    </row>
    <row r="899" spans="4:4" x14ac:dyDescent="0.2">
      <c r="D899" s="7"/>
    </row>
    <row r="900" spans="4:4" x14ac:dyDescent="0.2">
      <c r="D900" s="7"/>
    </row>
    <row r="901" spans="4:4" x14ac:dyDescent="0.2">
      <c r="D901" s="7"/>
    </row>
    <row r="902" spans="4:4" x14ac:dyDescent="0.2">
      <c r="D902" s="7"/>
    </row>
    <row r="903" spans="4:4" x14ac:dyDescent="0.2">
      <c r="D903" s="7"/>
    </row>
    <row r="904" spans="4:4" x14ac:dyDescent="0.2">
      <c r="D904" s="7"/>
    </row>
    <row r="905" spans="4:4" x14ac:dyDescent="0.2">
      <c r="D905" s="7"/>
    </row>
    <row r="906" spans="4:4" x14ac:dyDescent="0.2">
      <c r="D906" s="7"/>
    </row>
    <row r="907" spans="4:4" x14ac:dyDescent="0.2">
      <c r="D907" s="7"/>
    </row>
    <row r="908" spans="4:4" x14ac:dyDescent="0.2">
      <c r="D908" s="7"/>
    </row>
    <row r="909" spans="4:4" x14ac:dyDescent="0.2">
      <c r="D909" s="7"/>
    </row>
    <row r="910" spans="4:4" x14ac:dyDescent="0.2">
      <c r="D910" s="7"/>
    </row>
    <row r="911" spans="4:4" x14ac:dyDescent="0.2">
      <c r="D911" s="7"/>
    </row>
    <row r="912" spans="4:4" x14ac:dyDescent="0.2">
      <c r="D912" s="7"/>
    </row>
    <row r="913" spans="4:4" x14ac:dyDescent="0.2">
      <c r="D913" s="7"/>
    </row>
    <row r="914" spans="4:4" x14ac:dyDescent="0.2">
      <c r="D914" s="7"/>
    </row>
    <row r="915" spans="4:4" x14ac:dyDescent="0.2">
      <c r="D915" s="7"/>
    </row>
    <row r="916" spans="4:4" x14ac:dyDescent="0.2">
      <c r="D916" s="7"/>
    </row>
    <row r="917" spans="4:4" x14ac:dyDescent="0.2">
      <c r="D917" s="7"/>
    </row>
    <row r="918" spans="4:4" x14ac:dyDescent="0.2">
      <c r="D918" s="7"/>
    </row>
    <row r="919" spans="4:4" x14ac:dyDescent="0.2">
      <c r="D919" s="7"/>
    </row>
    <row r="920" spans="4:4" x14ac:dyDescent="0.2">
      <c r="D920" s="7"/>
    </row>
    <row r="921" spans="4:4" x14ac:dyDescent="0.2">
      <c r="D921" s="7"/>
    </row>
    <row r="922" spans="4:4" x14ac:dyDescent="0.2">
      <c r="D922" s="7"/>
    </row>
    <row r="923" spans="4:4" x14ac:dyDescent="0.2">
      <c r="D923" s="7"/>
    </row>
    <row r="924" spans="4:4" x14ac:dyDescent="0.2">
      <c r="D924" s="7"/>
    </row>
    <row r="925" spans="4:4" x14ac:dyDescent="0.2">
      <c r="D925" s="7"/>
    </row>
    <row r="926" spans="4:4" x14ac:dyDescent="0.2">
      <c r="D926" s="7"/>
    </row>
    <row r="927" spans="4:4" x14ac:dyDescent="0.2">
      <c r="D927" s="7"/>
    </row>
    <row r="928" spans="4:4" x14ac:dyDescent="0.2">
      <c r="D928" s="7"/>
    </row>
    <row r="929" spans="4:4" x14ac:dyDescent="0.2">
      <c r="D929" s="7"/>
    </row>
    <row r="930" spans="4:4" x14ac:dyDescent="0.2">
      <c r="D930" s="7"/>
    </row>
    <row r="931" spans="4:4" x14ac:dyDescent="0.2">
      <c r="D931" s="7"/>
    </row>
    <row r="932" spans="4:4" x14ac:dyDescent="0.2">
      <c r="D932" s="7"/>
    </row>
    <row r="933" spans="4:4" x14ac:dyDescent="0.2">
      <c r="D933" s="7"/>
    </row>
    <row r="934" spans="4:4" x14ac:dyDescent="0.2">
      <c r="D934" s="7"/>
    </row>
    <row r="935" spans="4:4" x14ac:dyDescent="0.2">
      <c r="D935" s="7"/>
    </row>
    <row r="936" spans="4:4" x14ac:dyDescent="0.2">
      <c r="D936" s="7"/>
    </row>
    <row r="937" spans="4:4" x14ac:dyDescent="0.2">
      <c r="D937" s="7"/>
    </row>
    <row r="938" spans="4:4" x14ac:dyDescent="0.2">
      <c r="D938" s="7"/>
    </row>
    <row r="939" spans="4:4" x14ac:dyDescent="0.2">
      <c r="D939" s="7"/>
    </row>
    <row r="940" spans="4:4" x14ac:dyDescent="0.2">
      <c r="D940" s="7"/>
    </row>
    <row r="941" spans="4:4" x14ac:dyDescent="0.2">
      <c r="D941" s="7"/>
    </row>
    <row r="942" spans="4:4" x14ac:dyDescent="0.2">
      <c r="D942" s="7"/>
    </row>
    <row r="943" spans="4:4" x14ac:dyDescent="0.2">
      <c r="D943" s="7"/>
    </row>
    <row r="944" spans="4:4" x14ac:dyDescent="0.2">
      <c r="D944" s="7"/>
    </row>
    <row r="945" spans="4:4" x14ac:dyDescent="0.2">
      <c r="D945" s="7"/>
    </row>
    <row r="946" spans="4:4" x14ac:dyDescent="0.2">
      <c r="D946" s="7"/>
    </row>
    <row r="947" spans="4:4" x14ac:dyDescent="0.2">
      <c r="D947" s="7"/>
    </row>
    <row r="948" spans="4:4" x14ac:dyDescent="0.2">
      <c r="D948" s="7"/>
    </row>
    <row r="949" spans="4:4" x14ac:dyDescent="0.2">
      <c r="D949" s="7"/>
    </row>
    <row r="950" spans="4:4" x14ac:dyDescent="0.2">
      <c r="D950" s="7"/>
    </row>
    <row r="951" spans="4:4" x14ac:dyDescent="0.2">
      <c r="D951" s="7"/>
    </row>
    <row r="952" spans="4:4" x14ac:dyDescent="0.2">
      <c r="D952" s="7"/>
    </row>
    <row r="953" spans="4:4" x14ac:dyDescent="0.2">
      <c r="D953" s="7"/>
    </row>
    <row r="954" spans="4:4" x14ac:dyDescent="0.2">
      <c r="D954" s="7"/>
    </row>
    <row r="955" spans="4:4" x14ac:dyDescent="0.2">
      <c r="D955" s="7"/>
    </row>
    <row r="956" spans="4:4" x14ac:dyDescent="0.2">
      <c r="D956" s="7"/>
    </row>
    <row r="957" spans="4:4" x14ac:dyDescent="0.2">
      <c r="D957" s="7"/>
    </row>
    <row r="958" spans="4:4" x14ac:dyDescent="0.2">
      <c r="D958" s="7"/>
    </row>
    <row r="959" spans="4:4" x14ac:dyDescent="0.2">
      <c r="D959" s="7"/>
    </row>
    <row r="960" spans="4:4" x14ac:dyDescent="0.2">
      <c r="D960" s="7"/>
    </row>
    <row r="961" spans="4:4" x14ac:dyDescent="0.2">
      <c r="D961" s="7"/>
    </row>
    <row r="962" spans="4:4" x14ac:dyDescent="0.2">
      <c r="D962" s="7"/>
    </row>
    <row r="963" spans="4:4" x14ac:dyDescent="0.2">
      <c r="D963" s="7"/>
    </row>
    <row r="964" spans="4:4" x14ac:dyDescent="0.2">
      <c r="D964" s="7"/>
    </row>
    <row r="965" spans="4:4" x14ac:dyDescent="0.2">
      <c r="D965" s="7"/>
    </row>
    <row r="966" spans="4:4" x14ac:dyDescent="0.2">
      <c r="D966" s="7"/>
    </row>
    <row r="967" spans="4:4" x14ac:dyDescent="0.2">
      <c r="D967" s="7"/>
    </row>
    <row r="968" spans="4:4" x14ac:dyDescent="0.2">
      <c r="D968" s="7"/>
    </row>
    <row r="969" spans="4:4" x14ac:dyDescent="0.2">
      <c r="D969" s="7"/>
    </row>
    <row r="970" spans="4:4" x14ac:dyDescent="0.2">
      <c r="D970" s="7"/>
    </row>
    <row r="971" spans="4:4" x14ac:dyDescent="0.2">
      <c r="D971" s="7"/>
    </row>
    <row r="972" spans="4:4" x14ac:dyDescent="0.2">
      <c r="D972" s="7"/>
    </row>
    <row r="973" spans="4:4" x14ac:dyDescent="0.2">
      <c r="D973" s="7"/>
    </row>
    <row r="974" spans="4:4" x14ac:dyDescent="0.2">
      <c r="D974" s="7"/>
    </row>
    <row r="975" spans="4:4" x14ac:dyDescent="0.2">
      <c r="D975" s="7"/>
    </row>
    <row r="976" spans="4:4" x14ac:dyDescent="0.2">
      <c r="D976" s="7"/>
    </row>
    <row r="977" spans="4:4" x14ac:dyDescent="0.2">
      <c r="D977" s="7"/>
    </row>
    <row r="978" spans="4:4" x14ac:dyDescent="0.2">
      <c r="D978" s="7"/>
    </row>
    <row r="979" spans="4:4" x14ac:dyDescent="0.2">
      <c r="D979" s="7"/>
    </row>
    <row r="980" spans="4:4" x14ac:dyDescent="0.2">
      <c r="D980" s="7"/>
    </row>
    <row r="981" spans="4:4" x14ac:dyDescent="0.2">
      <c r="D981" s="7"/>
    </row>
    <row r="982" spans="4:4" x14ac:dyDescent="0.2">
      <c r="D982" s="7"/>
    </row>
    <row r="983" spans="4:4" x14ac:dyDescent="0.2">
      <c r="D983" s="7"/>
    </row>
    <row r="984" spans="4:4" x14ac:dyDescent="0.2">
      <c r="D984" s="7"/>
    </row>
    <row r="985" spans="4:4" x14ac:dyDescent="0.2">
      <c r="D985" s="7"/>
    </row>
    <row r="986" spans="4:4" x14ac:dyDescent="0.2">
      <c r="D986" s="7"/>
    </row>
    <row r="987" spans="4:4" x14ac:dyDescent="0.2">
      <c r="D987" s="7"/>
    </row>
    <row r="988" spans="4:4" x14ac:dyDescent="0.2">
      <c r="D988" s="7"/>
    </row>
    <row r="989" spans="4:4" x14ac:dyDescent="0.2">
      <c r="D989" s="7"/>
    </row>
    <row r="990" spans="4:4" x14ac:dyDescent="0.2">
      <c r="D990" s="7"/>
    </row>
    <row r="991" spans="4:4" x14ac:dyDescent="0.2">
      <c r="D991" s="7"/>
    </row>
    <row r="992" spans="4:4" x14ac:dyDescent="0.2">
      <c r="D992" s="7"/>
    </row>
    <row r="993" spans="4:4" x14ac:dyDescent="0.2">
      <c r="D993" s="7"/>
    </row>
    <row r="994" spans="4:4" x14ac:dyDescent="0.2">
      <c r="D994" s="7"/>
    </row>
    <row r="995" spans="4:4" x14ac:dyDescent="0.2">
      <c r="D995" s="7"/>
    </row>
    <row r="996" spans="4:4" x14ac:dyDescent="0.2">
      <c r="D996" s="7"/>
    </row>
    <row r="997" spans="4:4" x14ac:dyDescent="0.2">
      <c r="D997" s="7"/>
    </row>
    <row r="998" spans="4:4" x14ac:dyDescent="0.2">
      <c r="D998" s="7"/>
    </row>
    <row r="999" spans="4:4" x14ac:dyDescent="0.2">
      <c r="D999" s="7"/>
    </row>
    <row r="1000" spans="4:4" x14ac:dyDescent="0.2">
      <c r="D1000" s="7"/>
    </row>
    <row r="1001" spans="4:4" x14ac:dyDescent="0.2">
      <c r="D1001" s="7"/>
    </row>
    <row r="1002" spans="4:4" x14ac:dyDescent="0.2">
      <c r="D1002" s="7"/>
    </row>
    <row r="1003" spans="4:4" x14ac:dyDescent="0.2">
      <c r="D1003" s="7"/>
    </row>
    <row r="1004" spans="4:4" x14ac:dyDescent="0.2">
      <c r="D1004" s="7"/>
    </row>
    <row r="1005" spans="4:4" x14ac:dyDescent="0.2">
      <c r="D1005" s="7"/>
    </row>
    <row r="1006" spans="4:4" x14ac:dyDescent="0.2">
      <c r="D1006" s="7"/>
    </row>
    <row r="1007" spans="4:4" x14ac:dyDescent="0.2">
      <c r="D1007" s="7"/>
    </row>
    <row r="1008" spans="4:4" x14ac:dyDescent="0.2">
      <c r="D1008" s="7"/>
    </row>
    <row r="1009" spans="4:4" x14ac:dyDescent="0.2">
      <c r="D1009" s="7"/>
    </row>
    <row r="1010" spans="4:4" x14ac:dyDescent="0.2">
      <c r="D1010" s="7"/>
    </row>
    <row r="1011" spans="4:4" x14ac:dyDescent="0.2">
      <c r="D1011" s="7"/>
    </row>
    <row r="1012" spans="4:4" x14ac:dyDescent="0.2">
      <c r="D1012" s="7"/>
    </row>
    <row r="1013" spans="4:4" x14ac:dyDescent="0.2">
      <c r="D1013" s="7"/>
    </row>
    <row r="1014" spans="4:4" x14ac:dyDescent="0.2">
      <c r="D1014" s="7"/>
    </row>
    <row r="1015" spans="4:4" x14ac:dyDescent="0.2">
      <c r="D1015" s="7"/>
    </row>
    <row r="1016" spans="4:4" x14ac:dyDescent="0.2">
      <c r="D1016" s="7"/>
    </row>
    <row r="1017" spans="4:4" x14ac:dyDescent="0.2">
      <c r="D1017" s="7"/>
    </row>
    <row r="1018" spans="4:4" x14ac:dyDescent="0.2">
      <c r="D1018" s="7"/>
    </row>
    <row r="1019" spans="4:4" x14ac:dyDescent="0.2">
      <c r="D1019" s="7"/>
    </row>
    <row r="1020" spans="4:4" x14ac:dyDescent="0.2">
      <c r="D1020" s="7"/>
    </row>
    <row r="1021" spans="4:4" x14ac:dyDescent="0.2">
      <c r="D1021" s="7"/>
    </row>
    <row r="1022" spans="4:4" x14ac:dyDescent="0.2">
      <c r="D1022" s="7"/>
    </row>
    <row r="1023" spans="4:4" x14ac:dyDescent="0.2">
      <c r="D1023" s="7"/>
    </row>
    <row r="1024" spans="4:4" x14ac:dyDescent="0.2">
      <c r="D1024" s="7"/>
    </row>
    <row r="1025" spans="4:4" x14ac:dyDescent="0.2">
      <c r="D1025" s="7"/>
    </row>
    <row r="1026" spans="4:4" x14ac:dyDescent="0.2">
      <c r="D1026" s="7"/>
    </row>
    <row r="1027" spans="4:4" x14ac:dyDescent="0.2">
      <c r="D1027" s="7"/>
    </row>
    <row r="1028" spans="4:4" x14ac:dyDescent="0.2">
      <c r="D1028" s="7"/>
    </row>
    <row r="1029" spans="4:4" x14ac:dyDescent="0.2">
      <c r="D1029" s="7"/>
    </row>
    <row r="1030" spans="4:4" x14ac:dyDescent="0.2">
      <c r="D1030" s="7"/>
    </row>
    <row r="1031" spans="4:4" x14ac:dyDescent="0.2">
      <c r="D1031" s="7"/>
    </row>
    <row r="1032" spans="4:4" x14ac:dyDescent="0.2">
      <c r="D1032" s="7"/>
    </row>
    <row r="1033" spans="4:4" x14ac:dyDescent="0.2">
      <c r="D1033" s="7"/>
    </row>
    <row r="1034" spans="4:4" x14ac:dyDescent="0.2">
      <c r="D1034" s="7"/>
    </row>
    <row r="1035" spans="4:4" x14ac:dyDescent="0.2">
      <c r="D1035" s="7"/>
    </row>
    <row r="1036" spans="4:4" x14ac:dyDescent="0.2">
      <c r="D1036" s="7"/>
    </row>
    <row r="1037" spans="4:4" x14ac:dyDescent="0.2">
      <c r="D1037" s="7"/>
    </row>
    <row r="1038" spans="4:4" x14ac:dyDescent="0.2">
      <c r="D1038" s="7"/>
    </row>
    <row r="1039" spans="4:4" x14ac:dyDescent="0.2">
      <c r="D1039" s="7"/>
    </row>
    <row r="1040" spans="4:4" x14ac:dyDescent="0.2">
      <c r="D1040" s="7"/>
    </row>
    <row r="1041" spans="4:4" x14ac:dyDescent="0.2">
      <c r="D1041" s="7"/>
    </row>
    <row r="1042" spans="4:4" x14ac:dyDescent="0.2">
      <c r="D1042" s="7"/>
    </row>
    <row r="1043" spans="4:4" x14ac:dyDescent="0.2">
      <c r="D1043" s="7"/>
    </row>
    <row r="1044" spans="4:4" x14ac:dyDescent="0.2">
      <c r="D1044" s="7"/>
    </row>
    <row r="1045" spans="4:4" x14ac:dyDescent="0.2">
      <c r="D1045" s="7"/>
    </row>
    <row r="1046" spans="4:4" x14ac:dyDescent="0.2">
      <c r="D1046" s="7"/>
    </row>
    <row r="1047" spans="4:4" x14ac:dyDescent="0.2">
      <c r="D1047" s="7"/>
    </row>
    <row r="1048" spans="4:4" x14ac:dyDescent="0.2">
      <c r="D1048" s="7"/>
    </row>
    <row r="1049" spans="4:4" x14ac:dyDescent="0.2">
      <c r="D1049" s="7"/>
    </row>
    <row r="1050" spans="4:4" x14ac:dyDescent="0.2">
      <c r="D1050" s="7"/>
    </row>
    <row r="1051" spans="4:4" x14ac:dyDescent="0.2">
      <c r="D1051" s="7"/>
    </row>
    <row r="1052" spans="4:4" x14ac:dyDescent="0.2">
      <c r="D1052" s="7"/>
    </row>
    <row r="1053" spans="4:4" x14ac:dyDescent="0.2">
      <c r="D1053" s="7"/>
    </row>
    <row r="1054" spans="4:4" x14ac:dyDescent="0.2">
      <c r="D1054" s="7"/>
    </row>
    <row r="1055" spans="4:4" x14ac:dyDescent="0.2">
      <c r="D1055" s="7"/>
    </row>
    <row r="1056" spans="4:4" x14ac:dyDescent="0.2">
      <c r="D1056" s="7"/>
    </row>
    <row r="1057" spans="4:4" x14ac:dyDescent="0.2">
      <c r="D1057" s="7"/>
    </row>
    <row r="1058" spans="4:4" x14ac:dyDescent="0.2">
      <c r="D1058" s="7"/>
    </row>
    <row r="1059" spans="4:4" x14ac:dyDescent="0.2">
      <c r="D1059" s="7"/>
    </row>
    <row r="1060" spans="4:4" x14ac:dyDescent="0.2">
      <c r="D1060" s="7"/>
    </row>
    <row r="1061" spans="4:4" x14ac:dyDescent="0.2">
      <c r="D1061" s="7"/>
    </row>
    <row r="1062" spans="4:4" x14ac:dyDescent="0.2">
      <c r="D1062" s="7"/>
    </row>
    <row r="1063" spans="4:4" x14ac:dyDescent="0.2">
      <c r="D1063" s="7"/>
    </row>
    <row r="1064" spans="4:4" x14ac:dyDescent="0.2">
      <c r="D1064" s="7"/>
    </row>
    <row r="1065" spans="4:4" x14ac:dyDescent="0.2">
      <c r="D1065" s="7"/>
    </row>
    <row r="1066" spans="4:4" x14ac:dyDescent="0.2">
      <c r="D1066" s="7"/>
    </row>
    <row r="1067" spans="4:4" x14ac:dyDescent="0.2">
      <c r="D1067" s="7"/>
    </row>
    <row r="1068" spans="4:4" x14ac:dyDescent="0.2">
      <c r="D1068" s="7"/>
    </row>
    <row r="1069" spans="4:4" x14ac:dyDescent="0.2">
      <c r="D1069" s="7"/>
    </row>
    <row r="1070" spans="4:4" x14ac:dyDescent="0.2">
      <c r="D1070" s="7"/>
    </row>
    <row r="1071" spans="4:4" x14ac:dyDescent="0.2">
      <c r="D1071" s="7"/>
    </row>
    <row r="1072" spans="4:4" x14ac:dyDescent="0.2">
      <c r="D1072" s="7"/>
    </row>
    <row r="1073" spans="4:4" x14ac:dyDescent="0.2">
      <c r="D1073" s="7"/>
    </row>
    <row r="1074" spans="4:4" x14ac:dyDescent="0.2">
      <c r="D1074" s="7"/>
    </row>
    <row r="1075" spans="4:4" x14ac:dyDescent="0.2">
      <c r="D1075" s="7"/>
    </row>
    <row r="1076" spans="4:4" x14ac:dyDescent="0.2">
      <c r="D1076" s="7"/>
    </row>
    <row r="1077" spans="4:4" x14ac:dyDescent="0.2">
      <c r="D1077" s="7"/>
    </row>
    <row r="1078" spans="4:4" x14ac:dyDescent="0.2">
      <c r="D1078" s="7"/>
    </row>
    <row r="1079" spans="4:4" x14ac:dyDescent="0.2">
      <c r="D1079" s="7"/>
    </row>
    <row r="1080" spans="4:4" x14ac:dyDescent="0.2">
      <c r="D1080" s="7"/>
    </row>
    <row r="1081" spans="4:4" x14ac:dyDescent="0.2">
      <c r="D1081" s="7"/>
    </row>
    <row r="1082" spans="4:4" x14ac:dyDescent="0.2">
      <c r="D1082" s="7"/>
    </row>
    <row r="1083" spans="4:4" x14ac:dyDescent="0.2">
      <c r="D1083" s="7"/>
    </row>
    <row r="1084" spans="4:4" x14ac:dyDescent="0.2">
      <c r="D1084" s="7"/>
    </row>
    <row r="1085" spans="4:4" x14ac:dyDescent="0.2">
      <c r="D1085" s="7"/>
    </row>
    <row r="1086" spans="4:4" x14ac:dyDescent="0.2">
      <c r="D1086" s="7"/>
    </row>
    <row r="1087" spans="4:4" x14ac:dyDescent="0.2">
      <c r="D1087" s="7"/>
    </row>
    <row r="1088" spans="4:4" x14ac:dyDescent="0.2">
      <c r="D1088" s="7"/>
    </row>
    <row r="1089" spans="4:4" x14ac:dyDescent="0.2">
      <c r="D1089" s="7"/>
    </row>
    <row r="1090" spans="4:4" x14ac:dyDescent="0.2">
      <c r="D1090" s="7"/>
    </row>
    <row r="1091" spans="4:4" x14ac:dyDescent="0.2">
      <c r="D1091" s="7"/>
    </row>
    <row r="1092" spans="4:4" x14ac:dyDescent="0.2">
      <c r="D1092" s="7"/>
    </row>
    <row r="1093" spans="4:4" x14ac:dyDescent="0.2">
      <c r="D1093" s="7"/>
    </row>
    <row r="1094" spans="4:4" x14ac:dyDescent="0.2">
      <c r="D1094" s="7"/>
    </row>
    <row r="1095" spans="4:4" x14ac:dyDescent="0.2">
      <c r="D1095" s="7"/>
    </row>
    <row r="1096" spans="4:4" x14ac:dyDescent="0.2">
      <c r="D1096" s="7"/>
    </row>
    <row r="1097" spans="4:4" x14ac:dyDescent="0.2">
      <c r="D1097" s="7"/>
    </row>
    <row r="1098" spans="4:4" x14ac:dyDescent="0.2">
      <c r="D1098" s="7"/>
    </row>
    <row r="1099" spans="4:4" x14ac:dyDescent="0.2">
      <c r="D1099" s="7"/>
    </row>
    <row r="1100" spans="4:4" x14ac:dyDescent="0.2">
      <c r="D1100" s="7"/>
    </row>
    <row r="1101" spans="4:4" x14ac:dyDescent="0.2">
      <c r="D1101" s="7"/>
    </row>
    <row r="1102" spans="4:4" x14ac:dyDescent="0.2">
      <c r="D1102" s="7"/>
    </row>
    <row r="1103" spans="4:4" x14ac:dyDescent="0.2">
      <c r="D1103" s="7"/>
    </row>
    <row r="1104" spans="4:4" x14ac:dyDescent="0.2">
      <c r="D1104" s="7"/>
    </row>
    <row r="1105" spans="4:4" x14ac:dyDescent="0.2">
      <c r="D1105" s="7"/>
    </row>
    <row r="1106" spans="4:4" x14ac:dyDescent="0.2">
      <c r="D1106" s="7"/>
    </row>
    <row r="1107" spans="4:4" x14ac:dyDescent="0.2">
      <c r="D1107" s="7"/>
    </row>
    <row r="1108" spans="4:4" x14ac:dyDescent="0.2">
      <c r="D1108" s="7"/>
    </row>
    <row r="1109" spans="4:4" x14ac:dyDescent="0.2">
      <c r="D1109" s="7"/>
    </row>
    <row r="1110" spans="4:4" x14ac:dyDescent="0.2">
      <c r="D1110" s="7"/>
    </row>
    <row r="1111" spans="4:4" x14ac:dyDescent="0.2">
      <c r="D1111" s="7"/>
    </row>
    <row r="1112" spans="4:4" x14ac:dyDescent="0.2">
      <c r="D1112" s="7"/>
    </row>
    <row r="1113" spans="4:4" x14ac:dyDescent="0.2">
      <c r="D1113" s="7"/>
    </row>
    <row r="1114" spans="4:4" x14ac:dyDescent="0.2">
      <c r="D1114" s="7"/>
    </row>
    <row r="1115" spans="4:4" x14ac:dyDescent="0.2">
      <c r="D1115" s="7"/>
    </row>
    <row r="1116" spans="4:4" x14ac:dyDescent="0.2">
      <c r="D1116" s="7"/>
    </row>
    <row r="1117" spans="4:4" x14ac:dyDescent="0.2">
      <c r="D1117" s="7"/>
    </row>
    <row r="1118" spans="4:4" x14ac:dyDescent="0.2">
      <c r="D1118" s="7"/>
    </row>
    <row r="1119" spans="4:4" x14ac:dyDescent="0.2">
      <c r="D1119" s="7"/>
    </row>
    <row r="1120" spans="4:4" x14ac:dyDescent="0.2">
      <c r="D1120" s="7"/>
    </row>
    <row r="1121" spans="4:4" x14ac:dyDescent="0.2">
      <c r="D1121" s="7"/>
    </row>
    <row r="1122" spans="4:4" x14ac:dyDescent="0.2">
      <c r="D1122" s="7"/>
    </row>
    <row r="1123" spans="4:4" x14ac:dyDescent="0.2">
      <c r="D1123" s="7"/>
    </row>
    <row r="1124" spans="4:4" x14ac:dyDescent="0.2">
      <c r="D1124" s="7"/>
    </row>
    <row r="1125" spans="4:4" x14ac:dyDescent="0.2">
      <c r="D1125" s="7"/>
    </row>
    <row r="1126" spans="4:4" x14ac:dyDescent="0.2">
      <c r="D1126" s="7"/>
    </row>
    <row r="1127" spans="4:4" x14ac:dyDescent="0.2">
      <c r="D1127" s="7"/>
    </row>
    <row r="1128" spans="4:4" x14ac:dyDescent="0.2">
      <c r="D1128" s="7"/>
    </row>
    <row r="1129" spans="4:4" x14ac:dyDescent="0.2">
      <c r="D1129" s="7"/>
    </row>
    <row r="1130" spans="4:4" x14ac:dyDescent="0.2">
      <c r="D1130" s="7"/>
    </row>
    <row r="1131" spans="4:4" x14ac:dyDescent="0.2">
      <c r="D1131" s="7"/>
    </row>
    <row r="1132" spans="4:4" x14ac:dyDescent="0.2">
      <c r="D1132" s="7"/>
    </row>
    <row r="1133" spans="4:4" x14ac:dyDescent="0.2">
      <c r="D1133" s="7"/>
    </row>
    <row r="1134" spans="4:4" x14ac:dyDescent="0.2">
      <c r="D1134" s="7"/>
    </row>
    <row r="1135" spans="4:4" x14ac:dyDescent="0.2">
      <c r="D1135" s="7"/>
    </row>
    <row r="1136" spans="4:4" x14ac:dyDescent="0.2">
      <c r="D1136" s="7"/>
    </row>
    <row r="1137" spans="4:4" x14ac:dyDescent="0.2">
      <c r="D1137" s="7"/>
    </row>
    <row r="1138" spans="4:4" x14ac:dyDescent="0.2">
      <c r="D1138" s="7"/>
    </row>
    <row r="1139" spans="4:4" x14ac:dyDescent="0.2">
      <c r="D1139" s="7"/>
    </row>
    <row r="1140" spans="4:4" x14ac:dyDescent="0.2">
      <c r="D1140" s="7"/>
    </row>
    <row r="1141" spans="4:4" x14ac:dyDescent="0.2">
      <c r="D1141" s="7"/>
    </row>
    <row r="1142" spans="4:4" x14ac:dyDescent="0.2">
      <c r="D1142" s="7"/>
    </row>
    <row r="1143" spans="4:4" x14ac:dyDescent="0.2">
      <c r="D1143" s="7"/>
    </row>
    <row r="1144" spans="4:4" x14ac:dyDescent="0.2">
      <c r="D1144" s="7"/>
    </row>
    <row r="1145" spans="4:4" x14ac:dyDescent="0.2">
      <c r="D1145" s="7"/>
    </row>
    <row r="1146" spans="4:4" x14ac:dyDescent="0.2">
      <c r="D1146" s="7"/>
    </row>
    <row r="1147" spans="4:4" x14ac:dyDescent="0.2">
      <c r="D1147" s="7"/>
    </row>
    <row r="1148" spans="4:4" x14ac:dyDescent="0.2">
      <c r="D1148" s="7"/>
    </row>
    <row r="1149" spans="4:4" x14ac:dyDescent="0.2">
      <c r="D1149" s="7"/>
    </row>
    <row r="1150" spans="4:4" x14ac:dyDescent="0.2">
      <c r="D1150" s="7"/>
    </row>
    <row r="1151" spans="4:4" x14ac:dyDescent="0.2">
      <c r="D1151" s="7"/>
    </row>
    <row r="1152" spans="4:4" x14ac:dyDescent="0.2">
      <c r="D1152" s="7"/>
    </row>
    <row r="1153" spans="4:4" x14ac:dyDescent="0.2">
      <c r="D1153" s="7"/>
    </row>
    <row r="1154" spans="4:4" x14ac:dyDescent="0.2">
      <c r="D1154" s="7"/>
    </row>
    <row r="1155" spans="4:4" x14ac:dyDescent="0.2">
      <c r="D1155" s="7"/>
    </row>
    <row r="1156" spans="4:4" x14ac:dyDescent="0.2">
      <c r="D1156" s="7"/>
    </row>
    <row r="1157" spans="4:4" x14ac:dyDescent="0.2">
      <c r="D1157" s="7"/>
    </row>
    <row r="1158" spans="4:4" x14ac:dyDescent="0.2">
      <c r="D1158" s="7"/>
    </row>
    <row r="1159" spans="4:4" x14ac:dyDescent="0.2">
      <c r="D1159" s="7"/>
    </row>
    <row r="1160" spans="4:4" x14ac:dyDescent="0.2">
      <c r="D1160" s="7"/>
    </row>
    <row r="1161" spans="4:4" x14ac:dyDescent="0.2">
      <c r="D1161" s="7"/>
    </row>
    <row r="1162" spans="4:4" x14ac:dyDescent="0.2">
      <c r="D1162" s="7"/>
    </row>
    <row r="1163" spans="4:4" x14ac:dyDescent="0.2">
      <c r="D1163" s="7"/>
    </row>
    <row r="1164" spans="4:4" x14ac:dyDescent="0.2">
      <c r="D1164" s="7"/>
    </row>
    <row r="1165" spans="4:4" x14ac:dyDescent="0.2">
      <c r="D1165" s="7"/>
    </row>
    <row r="1166" spans="4:4" x14ac:dyDescent="0.2">
      <c r="D1166" s="7"/>
    </row>
    <row r="1167" spans="4:4" x14ac:dyDescent="0.2">
      <c r="D1167" s="7"/>
    </row>
    <row r="1168" spans="4:4" x14ac:dyDescent="0.2">
      <c r="D1168" s="7"/>
    </row>
    <row r="1169" spans="4:4" x14ac:dyDescent="0.2">
      <c r="D1169" s="7"/>
    </row>
    <row r="1170" spans="4:4" x14ac:dyDescent="0.2">
      <c r="D1170" s="7"/>
    </row>
    <row r="1171" spans="4:4" x14ac:dyDescent="0.2">
      <c r="D1171" s="7"/>
    </row>
    <row r="1172" spans="4:4" x14ac:dyDescent="0.2">
      <c r="D1172" s="7"/>
    </row>
    <row r="1173" spans="4:4" x14ac:dyDescent="0.2">
      <c r="D1173" s="7"/>
    </row>
    <row r="1174" spans="4:4" x14ac:dyDescent="0.2">
      <c r="D1174" s="7"/>
    </row>
    <row r="1175" spans="4:4" x14ac:dyDescent="0.2">
      <c r="D1175" s="7"/>
    </row>
    <row r="1176" spans="4:4" x14ac:dyDescent="0.2">
      <c r="D1176" s="7"/>
    </row>
    <row r="1177" spans="4:4" x14ac:dyDescent="0.2">
      <c r="D1177" s="7"/>
    </row>
    <row r="1178" spans="4:4" x14ac:dyDescent="0.2">
      <c r="D1178" s="7"/>
    </row>
    <row r="1179" spans="4:4" x14ac:dyDescent="0.2">
      <c r="D1179" s="7"/>
    </row>
    <row r="1180" spans="4:4" x14ac:dyDescent="0.2">
      <c r="D1180" s="7"/>
    </row>
    <row r="1181" spans="4:4" x14ac:dyDescent="0.2">
      <c r="D1181" s="7"/>
    </row>
    <row r="1182" spans="4:4" x14ac:dyDescent="0.2">
      <c r="D1182" s="7"/>
    </row>
    <row r="1183" spans="4:4" x14ac:dyDescent="0.2">
      <c r="D1183" s="7"/>
    </row>
    <row r="1184" spans="4:4" x14ac:dyDescent="0.2">
      <c r="D1184" s="7"/>
    </row>
    <row r="1185" spans="4:4" x14ac:dyDescent="0.2">
      <c r="D1185" s="7"/>
    </row>
    <row r="1186" spans="4:4" x14ac:dyDescent="0.2">
      <c r="D1186" s="7"/>
    </row>
    <row r="1187" spans="4:4" x14ac:dyDescent="0.2">
      <c r="D1187" s="7"/>
    </row>
    <row r="1188" spans="4:4" x14ac:dyDescent="0.2">
      <c r="D1188" s="7"/>
    </row>
    <row r="1189" spans="4:4" x14ac:dyDescent="0.2">
      <c r="D1189" s="7"/>
    </row>
    <row r="1190" spans="4:4" x14ac:dyDescent="0.2">
      <c r="D1190" s="7"/>
    </row>
    <row r="1191" spans="4:4" x14ac:dyDescent="0.2">
      <c r="D1191" s="7"/>
    </row>
    <row r="1192" spans="4:4" x14ac:dyDescent="0.2">
      <c r="D1192" s="7"/>
    </row>
    <row r="1193" spans="4:4" x14ac:dyDescent="0.2">
      <c r="D1193" s="7"/>
    </row>
    <row r="1194" spans="4:4" x14ac:dyDescent="0.2">
      <c r="D1194" s="7"/>
    </row>
    <row r="1195" spans="4:4" x14ac:dyDescent="0.2">
      <c r="D1195" s="7"/>
    </row>
    <row r="1196" spans="4:4" x14ac:dyDescent="0.2">
      <c r="D1196" s="7"/>
    </row>
    <row r="1197" spans="4:4" x14ac:dyDescent="0.2">
      <c r="D1197" s="7"/>
    </row>
    <row r="1198" spans="4:4" x14ac:dyDescent="0.2">
      <c r="D1198" s="7"/>
    </row>
    <row r="1199" spans="4:4" x14ac:dyDescent="0.2">
      <c r="D1199" s="7"/>
    </row>
    <row r="1200" spans="4:4" x14ac:dyDescent="0.2">
      <c r="D1200" s="7"/>
    </row>
    <row r="1201" spans="4:4" x14ac:dyDescent="0.2">
      <c r="D1201" s="7"/>
    </row>
    <row r="1202" spans="4:4" x14ac:dyDescent="0.2">
      <c r="D1202" s="7"/>
    </row>
    <row r="1203" spans="4:4" x14ac:dyDescent="0.2">
      <c r="D1203" s="7"/>
    </row>
    <row r="1204" spans="4:4" x14ac:dyDescent="0.2">
      <c r="D1204" s="7"/>
    </row>
    <row r="1205" spans="4:4" x14ac:dyDescent="0.2">
      <c r="D1205" s="7"/>
    </row>
    <row r="1206" spans="4:4" x14ac:dyDescent="0.2">
      <c r="D1206" s="7"/>
    </row>
    <row r="1207" spans="4:4" x14ac:dyDescent="0.2">
      <c r="D1207" s="7"/>
    </row>
    <row r="1208" spans="4:4" x14ac:dyDescent="0.2">
      <c r="D1208" s="7"/>
    </row>
    <row r="1209" spans="4:4" x14ac:dyDescent="0.2">
      <c r="D1209" s="7"/>
    </row>
    <row r="1210" spans="4:4" x14ac:dyDescent="0.2">
      <c r="D1210" s="7"/>
    </row>
    <row r="1211" spans="4:4" x14ac:dyDescent="0.2">
      <c r="D1211" s="7"/>
    </row>
    <row r="1212" spans="4:4" x14ac:dyDescent="0.2">
      <c r="D1212" s="7"/>
    </row>
    <row r="1213" spans="4:4" x14ac:dyDescent="0.2">
      <c r="D1213" s="7"/>
    </row>
    <row r="1214" spans="4:4" x14ac:dyDescent="0.2">
      <c r="D1214" s="7"/>
    </row>
    <row r="1215" spans="4:4" x14ac:dyDescent="0.2">
      <c r="D1215" s="7"/>
    </row>
    <row r="1216" spans="4:4" x14ac:dyDescent="0.2">
      <c r="D1216" s="7"/>
    </row>
    <row r="1217" spans="4:4" x14ac:dyDescent="0.2">
      <c r="D1217" s="7"/>
    </row>
    <row r="1218" spans="4:4" x14ac:dyDescent="0.2">
      <c r="D1218" s="7"/>
    </row>
    <row r="1219" spans="4:4" x14ac:dyDescent="0.2">
      <c r="D1219" s="7"/>
    </row>
    <row r="1220" spans="4:4" x14ac:dyDescent="0.2">
      <c r="D1220" s="7"/>
    </row>
    <row r="1221" spans="4:4" x14ac:dyDescent="0.2">
      <c r="D1221" s="7"/>
    </row>
    <row r="1222" spans="4:4" x14ac:dyDescent="0.2">
      <c r="D1222" s="7"/>
    </row>
    <row r="1223" spans="4:4" x14ac:dyDescent="0.2">
      <c r="D1223" s="7"/>
    </row>
    <row r="1224" spans="4:4" x14ac:dyDescent="0.2">
      <c r="D1224" s="7"/>
    </row>
    <row r="1225" spans="4:4" x14ac:dyDescent="0.2">
      <c r="D1225" s="7"/>
    </row>
    <row r="1226" spans="4:4" x14ac:dyDescent="0.2">
      <c r="D1226" s="7"/>
    </row>
    <row r="1227" spans="4:4" x14ac:dyDescent="0.2">
      <c r="D1227" s="7"/>
    </row>
    <row r="1228" spans="4:4" x14ac:dyDescent="0.2">
      <c r="D1228" s="7"/>
    </row>
    <row r="1229" spans="4:4" x14ac:dyDescent="0.2">
      <c r="D1229" s="7"/>
    </row>
    <row r="1230" spans="4:4" x14ac:dyDescent="0.2">
      <c r="D1230" s="7"/>
    </row>
    <row r="1231" spans="4:4" x14ac:dyDescent="0.2">
      <c r="D1231" s="7"/>
    </row>
    <row r="1232" spans="4:4" x14ac:dyDescent="0.2">
      <c r="D1232" s="7"/>
    </row>
    <row r="1233" spans="4:4" x14ac:dyDescent="0.2">
      <c r="D1233" s="7"/>
    </row>
    <row r="1234" spans="4:4" x14ac:dyDescent="0.2">
      <c r="D1234" s="7"/>
    </row>
    <row r="1235" spans="4:4" x14ac:dyDescent="0.2">
      <c r="D1235" s="7"/>
    </row>
    <row r="1236" spans="4:4" x14ac:dyDescent="0.2">
      <c r="D1236" s="7"/>
    </row>
    <row r="1237" spans="4:4" x14ac:dyDescent="0.2">
      <c r="D1237" s="7"/>
    </row>
    <row r="1238" spans="4:4" x14ac:dyDescent="0.2">
      <c r="D1238" s="7"/>
    </row>
    <row r="1239" spans="4:4" x14ac:dyDescent="0.2">
      <c r="D1239" s="7"/>
    </row>
    <row r="1240" spans="4:4" x14ac:dyDescent="0.2">
      <c r="D1240" s="7"/>
    </row>
    <row r="1241" spans="4:4" x14ac:dyDescent="0.2">
      <c r="D1241" s="7"/>
    </row>
    <row r="1242" spans="4:4" x14ac:dyDescent="0.2">
      <c r="D1242" s="7"/>
    </row>
    <row r="1243" spans="4:4" x14ac:dyDescent="0.2">
      <c r="D1243" s="7"/>
    </row>
    <row r="1244" spans="4:4" x14ac:dyDescent="0.2">
      <c r="D1244" s="7"/>
    </row>
    <row r="1245" spans="4:4" x14ac:dyDescent="0.2">
      <c r="D1245" s="7"/>
    </row>
    <row r="1246" spans="4:4" x14ac:dyDescent="0.2">
      <c r="D1246" s="7"/>
    </row>
    <row r="1247" spans="4:4" x14ac:dyDescent="0.2">
      <c r="D1247" s="7"/>
    </row>
    <row r="1248" spans="4:4" x14ac:dyDescent="0.2">
      <c r="D1248" s="7"/>
    </row>
    <row r="1249" spans="4:4" x14ac:dyDescent="0.2">
      <c r="D1249" s="7"/>
    </row>
    <row r="1250" spans="4:4" x14ac:dyDescent="0.2">
      <c r="D1250" s="7"/>
    </row>
    <row r="1251" spans="4:4" x14ac:dyDescent="0.2">
      <c r="D1251" s="7"/>
    </row>
    <row r="1252" spans="4:4" x14ac:dyDescent="0.2">
      <c r="D1252" s="7"/>
    </row>
    <row r="1253" spans="4:4" x14ac:dyDescent="0.2">
      <c r="D1253" s="7"/>
    </row>
    <row r="1254" spans="4:4" x14ac:dyDescent="0.2">
      <c r="D1254" s="7"/>
    </row>
    <row r="1255" spans="4:4" x14ac:dyDescent="0.2">
      <c r="D1255" s="7"/>
    </row>
    <row r="1256" spans="4:4" x14ac:dyDescent="0.2">
      <c r="D1256" s="7"/>
    </row>
    <row r="1257" spans="4:4" x14ac:dyDescent="0.2">
      <c r="D1257" s="7"/>
    </row>
    <row r="1258" spans="4:4" x14ac:dyDescent="0.2">
      <c r="D1258" s="7"/>
    </row>
    <row r="1259" spans="4:4" x14ac:dyDescent="0.2">
      <c r="D1259" s="7"/>
    </row>
    <row r="1260" spans="4:4" x14ac:dyDescent="0.2">
      <c r="D1260" s="7"/>
    </row>
    <row r="1261" spans="4:4" x14ac:dyDescent="0.2">
      <c r="D1261" s="7"/>
    </row>
    <row r="1262" spans="4:4" x14ac:dyDescent="0.2">
      <c r="D1262" s="7"/>
    </row>
    <row r="1263" spans="4:4" x14ac:dyDescent="0.2">
      <c r="D1263" s="7"/>
    </row>
    <row r="1264" spans="4:4" x14ac:dyDescent="0.2">
      <c r="D1264" s="7"/>
    </row>
    <row r="1265" spans="4:4" x14ac:dyDescent="0.2">
      <c r="D1265" s="7"/>
    </row>
    <row r="1266" spans="4:4" x14ac:dyDescent="0.2">
      <c r="D1266" s="7"/>
    </row>
    <row r="1267" spans="4:4" x14ac:dyDescent="0.2">
      <c r="D1267" s="7"/>
    </row>
    <row r="1268" spans="4:4" x14ac:dyDescent="0.2">
      <c r="D1268" s="7"/>
    </row>
    <row r="1269" spans="4:4" x14ac:dyDescent="0.2">
      <c r="D1269" s="7"/>
    </row>
    <row r="1270" spans="4:4" x14ac:dyDescent="0.2">
      <c r="D1270" s="7"/>
    </row>
    <row r="1271" spans="4:4" x14ac:dyDescent="0.2">
      <c r="D1271" s="7"/>
    </row>
    <row r="1272" spans="4:4" x14ac:dyDescent="0.2">
      <c r="D1272" s="7"/>
    </row>
    <row r="1273" spans="4:4" x14ac:dyDescent="0.2">
      <c r="D1273" s="7"/>
    </row>
    <row r="1274" spans="4:4" x14ac:dyDescent="0.2">
      <c r="D1274" s="7"/>
    </row>
    <row r="1275" spans="4:4" x14ac:dyDescent="0.2">
      <c r="D1275" s="7"/>
    </row>
    <row r="1276" spans="4:4" x14ac:dyDescent="0.2">
      <c r="D1276" s="7"/>
    </row>
    <row r="1277" spans="4:4" x14ac:dyDescent="0.2">
      <c r="D1277" s="7"/>
    </row>
    <row r="1278" spans="4:4" x14ac:dyDescent="0.2">
      <c r="D1278" s="7"/>
    </row>
    <row r="1279" spans="4:4" x14ac:dyDescent="0.2">
      <c r="D1279" s="7"/>
    </row>
    <row r="1280" spans="4:4" x14ac:dyDescent="0.2">
      <c r="D1280" s="7"/>
    </row>
    <row r="1281" spans="4:4" x14ac:dyDescent="0.2">
      <c r="D1281" s="7"/>
    </row>
    <row r="1282" spans="4:4" x14ac:dyDescent="0.2">
      <c r="D1282" s="7"/>
    </row>
    <row r="1283" spans="4:4" x14ac:dyDescent="0.2">
      <c r="D1283" s="7"/>
    </row>
    <row r="1284" spans="4:4" x14ac:dyDescent="0.2">
      <c r="D1284" s="7"/>
    </row>
    <row r="1285" spans="4:4" x14ac:dyDescent="0.2">
      <c r="D1285" s="7"/>
    </row>
    <row r="1286" spans="4:4" x14ac:dyDescent="0.2">
      <c r="D1286" s="7"/>
    </row>
    <row r="1287" spans="4:4" x14ac:dyDescent="0.2">
      <c r="D1287" s="7"/>
    </row>
    <row r="1288" spans="4:4" x14ac:dyDescent="0.2">
      <c r="D1288" s="7"/>
    </row>
    <row r="1289" spans="4:4" x14ac:dyDescent="0.2">
      <c r="D1289" s="7"/>
    </row>
    <row r="1290" spans="4:4" x14ac:dyDescent="0.2">
      <c r="D1290" s="7"/>
    </row>
    <row r="1291" spans="4:4" x14ac:dyDescent="0.2">
      <c r="D1291" s="7"/>
    </row>
    <row r="1292" spans="4:4" x14ac:dyDescent="0.2">
      <c r="D1292" s="7"/>
    </row>
    <row r="1293" spans="4:4" x14ac:dyDescent="0.2">
      <c r="D1293" s="7"/>
    </row>
    <row r="1294" spans="4:4" x14ac:dyDescent="0.2">
      <c r="D1294" s="7"/>
    </row>
    <row r="1295" spans="4:4" x14ac:dyDescent="0.2">
      <c r="D1295" s="7"/>
    </row>
    <row r="1296" spans="4:4" x14ac:dyDescent="0.2">
      <c r="D1296" s="7"/>
    </row>
    <row r="1297" spans="4:4" x14ac:dyDescent="0.2">
      <c r="D1297" s="7"/>
    </row>
    <row r="1298" spans="4:4" x14ac:dyDescent="0.2">
      <c r="D1298" s="7"/>
    </row>
    <row r="1299" spans="4:4" x14ac:dyDescent="0.2">
      <c r="D1299" s="7"/>
    </row>
    <row r="1300" spans="4:4" x14ac:dyDescent="0.2">
      <c r="D1300" s="7"/>
    </row>
    <row r="1301" spans="4:4" x14ac:dyDescent="0.2">
      <c r="D1301" s="7"/>
    </row>
    <row r="1302" spans="4:4" x14ac:dyDescent="0.2">
      <c r="D1302" s="7"/>
    </row>
    <row r="1303" spans="4:4" x14ac:dyDescent="0.2">
      <c r="D1303" s="7"/>
    </row>
    <row r="1304" spans="4:4" x14ac:dyDescent="0.2">
      <c r="D1304" s="7"/>
    </row>
    <row r="1305" spans="4:4" x14ac:dyDescent="0.2">
      <c r="D1305" s="7"/>
    </row>
    <row r="1306" spans="4:4" x14ac:dyDescent="0.2">
      <c r="D1306" s="7"/>
    </row>
    <row r="1307" spans="4:4" x14ac:dyDescent="0.2">
      <c r="D1307" s="7"/>
    </row>
    <row r="1308" spans="4:4" x14ac:dyDescent="0.2">
      <c r="D1308" s="7"/>
    </row>
    <row r="1309" spans="4:4" x14ac:dyDescent="0.2">
      <c r="D1309" s="7"/>
    </row>
    <row r="1310" spans="4:4" x14ac:dyDescent="0.2">
      <c r="D1310" s="7"/>
    </row>
    <row r="1311" spans="4:4" x14ac:dyDescent="0.2">
      <c r="D1311" s="7"/>
    </row>
    <row r="1312" spans="4:4" x14ac:dyDescent="0.2">
      <c r="D1312" s="7"/>
    </row>
    <row r="1313" spans="4:4" x14ac:dyDescent="0.2">
      <c r="D1313" s="7"/>
    </row>
    <row r="1314" spans="4:4" x14ac:dyDescent="0.2">
      <c r="D1314" s="7"/>
    </row>
    <row r="1315" spans="4:4" x14ac:dyDescent="0.2">
      <c r="D1315" s="7"/>
    </row>
    <row r="1316" spans="4:4" x14ac:dyDescent="0.2">
      <c r="D1316" s="7"/>
    </row>
    <row r="1317" spans="4:4" x14ac:dyDescent="0.2">
      <c r="D1317" s="7"/>
    </row>
    <row r="1318" spans="4:4" x14ac:dyDescent="0.2">
      <c r="D1318" s="7"/>
    </row>
    <row r="1319" spans="4:4" x14ac:dyDescent="0.2">
      <c r="D1319" s="7"/>
    </row>
    <row r="1320" spans="4:4" x14ac:dyDescent="0.2">
      <c r="D1320" s="7"/>
    </row>
    <row r="1321" spans="4:4" x14ac:dyDescent="0.2">
      <c r="D1321" s="7"/>
    </row>
    <row r="1322" spans="4:4" x14ac:dyDescent="0.2">
      <c r="D1322" s="7"/>
    </row>
    <row r="1323" spans="4:4" x14ac:dyDescent="0.2">
      <c r="D1323" s="7"/>
    </row>
    <row r="1324" spans="4:4" x14ac:dyDescent="0.2">
      <c r="D1324" s="7"/>
    </row>
    <row r="1325" spans="4:4" x14ac:dyDescent="0.2">
      <c r="D1325" s="7"/>
    </row>
    <row r="1326" spans="4:4" x14ac:dyDescent="0.2">
      <c r="D1326" s="7"/>
    </row>
    <row r="1327" spans="4:4" x14ac:dyDescent="0.2">
      <c r="D1327" s="7"/>
    </row>
    <row r="1328" spans="4:4" x14ac:dyDescent="0.2">
      <c r="D1328" s="7"/>
    </row>
    <row r="1329" spans="4:4" x14ac:dyDescent="0.2">
      <c r="D1329" s="7"/>
    </row>
    <row r="1330" spans="4:4" x14ac:dyDescent="0.2">
      <c r="D1330" s="7"/>
    </row>
    <row r="1331" spans="4:4" x14ac:dyDescent="0.2">
      <c r="D1331" s="7"/>
    </row>
    <row r="1332" spans="4:4" x14ac:dyDescent="0.2">
      <c r="D1332" s="7"/>
    </row>
    <row r="1333" spans="4:4" x14ac:dyDescent="0.2">
      <c r="D1333" s="7"/>
    </row>
    <row r="1334" spans="4:4" x14ac:dyDescent="0.2">
      <c r="D1334" s="7"/>
    </row>
    <row r="1335" spans="4:4" x14ac:dyDescent="0.2">
      <c r="D1335" s="7"/>
    </row>
    <row r="1336" spans="4:4" x14ac:dyDescent="0.2">
      <c r="D1336" s="7"/>
    </row>
    <row r="1337" spans="4:4" x14ac:dyDescent="0.2">
      <c r="D1337" s="7"/>
    </row>
    <row r="1338" spans="4:4" x14ac:dyDescent="0.2">
      <c r="D1338" s="7"/>
    </row>
    <row r="1339" spans="4:4" x14ac:dyDescent="0.2">
      <c r="D1339" s="7"/>
    </row>
    <row r="1340" spans="4:4" x14ac:dyDescent="0.2">
      <c r="D1340" s="7"/>
    </row>
    <row r="1341" spans="4:4" x14ac:dyDescent="0.2">
      <c r="D1341" s="7"/>
    </row>
    <row r="1342" spans="4:4" x14ac:dyDescent="0.2">
      <c r="D1342" s="7"/>
    </row>
    <row r="1343" spans="4:4" x14ac:dyDescent="0.2">
      <c r="D1343" s="7"/>
    </row>
    <row r="1344" spans="4:4" x14ac:dyDescent="0.2">
      <c r="D1344" s="7"/>
    </row>
    <row r="1345" spans="4:4" x14ac:dyDescent="0.2">
      <c r="D1345" s="7"/>
    </row>
    <row r="1346" spans="4:4" x14ac:dyDescent="0.2">
      <c r="D1346" s="7"/>
    </row>
    <row r="1347" spans="4:4" x14ac:dyDescent="0.2">
      <c r="D1347" s="7"/>
    </row>
    <row r="1348" spans="4:4" x14ac:dyDescent="0.2">
      <c r="D1348" s="7"/>
    </row>
    <row r="1349" spans="4:4" x14ac:dyDescent="0.2">
      <c r="D1349" s="7"/>
    </row>
    <row r="1350" spans="4:4" x14ac:dyDescent="0.2">
      <c r="D1350" s="7"/>
    </row>
    <row r="1351" spans="4:4" x14ac:dyDescent="0.2">
      <c r="D1351" s="7"/>
    </row>
    <row r="1352" spans="4:4" x14ac:dyDescent="0.2">
      <c r="D1352" s="7"/>
    </row>
    <row r="1353" spans="4:4" x14ac:dyDescent="0.2">
      <c r="D1353" s="7"/>
    </row>
    <row r="1354" spans="4:4" x14ac:dyDescent="0.2">
      <c r="D1354" s="7"/>
    </row>
    <row r="1355" spans="4:4" x14ac:dyDescent="0.2">
      <c r="D1355" s="7"/>
    </row>
    <row r="1356" spans="4:4" x14ac:dyDescent="0.2">
      <c r="D1356" s="7"/>
    </row>
    <row r="1357" spans="4:4" x14ac:dyDescent="0.2">
      <c r="D1357" s="7"/>
    </row>
    <row r="1358" spans="4:4" x14ac:dyDescent="0.2">
      <c r="D1358" s="7"/>
    </row>
    <row r="1359" spans="4:4" x14ac:dyDescent="0.2">
      <c r="D1359" s="7"/>
    </row>
    <row r="1360" spans="4:4" x14ac:dyDescent="0.2">
      <c r="D1360" s="7"/>
    </row>
    <row r="1361" spans="4:4" x14ac:dyDescent="0.2">
      <c r="D1361" s="7"/>
    </row>
    <row r="1362" spans="4:4" x14ac:dyDescent="0.2">
      <c r="D1362" s="7"/>
    </row>
    <row r="1363" spans="4:4" x14ac:dyDescent="0.2">
      <c r="D1363" s="7"/>
    </row>
    <row r="1364" spans="4:4" x14ac:dyDescent="0.2">
      <c r="D1364" s="7"/>
    </row>
    <row r="1365" spans="4:4" x14ac:dyDescent="0.2">
      <c r="D1365" s="7"/>
    </row>
    <row r="1366" spans="4:4" x14ac:dyDescent="0.2">
      <c r="D1366" s="7"/>
    </row>
    <row r="1367" spans="4:4" x14ac:dyDescent="0.2">
      <c r="D1367" s="7"/>
    </row>
    <row r="1368" spans="4:4" x14ac:dyDescent="0.2">
      <c r="D1368" s="7"/>
    </row>
    <row r="1369" spans="4:4" x14ac:dyDescent="0.2">
      <c r="D1369" s="7"/>
    </row>
    <row r="1370" spans="4:4" x14ac:dyDescent="0.2">
      <c r="D1370" s="7"/>
    </row>
    <row r="1371" spans="4:4" x14ac:dyDescent="0.2">
      <c r="D1371" s="7"/>
    </row>
    <row r="1372" spans="4:4" x14ac:dyDescent="0.2">
      <c r="D1372" s="7"/>
    </row>
    <row r="1373" spans="4:4" x14ac:dyDescent="0.2">
      <c r="D1373" s="7"/>
    </row>
    <row r="1374" spans="4:4" x14ac:dyDescent="0.2">
      <c r="D1374" s="7"/>
    </row>
    <row r="1375" spans="4:4" x14ac:dyDescent="0.2">
      <c r="D1375" s="7"/>
    </row>
    <row r="1376" spans="4:4" x14ac:dyDescent="0.2">
      <c r="D1376" s="7"/>
    </row>
    <row r="1377" spans="4:4" x14ac:dyDescent="0.2">
      <c r="D1377" s="7"/>
    </row>
    <row r="1378" spans="4:4" x14ac:dyDescent="0.2">
      <c r="D1378" s="7"/>
    </row>
    <row r="1379" spans="4:4" x14ac:dyDescent="0.2">
      <c r="D1379" s="7"/>
    </row>
    <row r="1380" spans="4:4" x14ac:dyDescent="0.2">
      <c r="D1380" s="7"/>
    </row>
    <row r="1381" spans="4:4" x14ac:dyDescent="0.2">
      <c r="D1381" s="7"/>
    </row>
    <row r="1382" spans="4:4" x14ac:dyDescent="0.2">
      <c r="D1382" s="7"/>
    </row>
    <row r="1383" spans="4:4" x14ac:dyDescent="0.2">
      <c r="D1383" s="7"/>
    </row>
    <row r="1384" spans="4:4" x14ac:dyDescent="0.2">
      <c r="D1384" s="7"/>
    </row>
    <row r="1385" spans="4:4" x14ac:dyDescent="0.2">
      <c r="D1385" s="7"/>
    </row>
    <row r="1386" spans="4:4" x14ac:dyDescent="0.2">
      <c r="D1386" s="7"/>
    </row>
    <row r="1387" spans="4:4" x14ac:dyDescent="0.2">
      <c r="D1387" s="7"/>
    </row>
    <row r="1388" spans="4:4" x14ac:dyDescent="0.2">
      <c r="D1388" s="7"/>
    </row>
    <row r="1389" spans="4:4" x14ac:dyDescent="0.2">
      <c r="D1389" s="7"/>
    </row>
    <row r="1390" spans="4:4" x14ac:dyDescent="0.2">
      <c r="D1390" s="7"/>
    </row>
    <row r="1391" spans="4:4" x14ac:dyDescent="0.2">
      <c r="D1391" s="7"/>
    </row>
    <row r="1392" spans="4:4" x14ac:dyDescent="0.2">
      <c r="D1392" s="7"/>
    </row>
    <row r="1393" spans="4:4" x14ac:dyDescent="0.2">
      <c r="D1393" s="7"/>
    </row>
    <row r="1394" spans="4:4" x14ac:dyDescent="0.2">
      <c r="D1394" s="7"/>
    </row>
    <row r="1395" spans="4:4" x14ac:dyDescent="0.2">
      <c r="D1395" s="7"/>
    </row>
    <row r="1396" spans="4:4" x14ac:dyDescent="0.2">
      <c r="D1396" s="7"/>
    </row>
    <row r="1397" spans="4:4" x14ac:dyDescent="0.2">
      <c r="D1397" s="7"/>
    </row>
    <row r="1398" spans="4:4" x14ac:dyDescent="0.2">
      <c r="D1398" s="7"/>
    </row>
    <row r="1399" spans="4:4" x14ac:dyDescent="0.2">
      <c r="D1399" s="7"/>
    </row>
    <row r="1400" spans="4:4" x14ac:dyDescent="0.2">
      <c r="D1400" s="7"/>
    </row>
    <row r="1401" spans="4:4" x14ac:dyDescent="0.2">
      <c r="D1401" s="7"/>
    </row>
    <row r="1402" spans="4:4" x14ac:dyDescent="0.2">
      <c r="D1402" s="7"/>
    </row>
    <row r="1403" spans="4:4" x14ac:dyDescent="0.2">
      <c r="D1403" s="7"/>
    </row>
    <row r="1404" spans="4:4" x14ac:dyDescent="0.2">
      <c r="D1404" s="7"/>
    </row>
    <row r="1405" spans="4:4" x14ac:dyDescent="0.2">
      <c r="D1405" s="7"/>
    </row>
    <row r="1406" spans="4:4" x14ac:dyDescent="0.2">
      <c r="D1406" s="7"/>
    </row>
    <row r="1407" spans="4:4" x14ac:dyDescent="0.2">
      <c r="D1407" s="7"/>
    </row>
    <row r="1408" spans="4:4" x14ac:dyDescent="0.2">
      <c r="D1408" s="7"/>
    </row>
    <row r="1409" spans="4:4" x14ac:dyDescent="0.2">
      <c r="D1409" s="7"/>
    </row>
    <row r="1410" spans="4:4" x14ac:dyDescent="0.2">
      <c r="D1410" s="7"/>
    </row>
    <row r="1411" spans="4:4" x14ac:dyDescent="0.2">
      <c r="D1411" s="7"/>
    </row>
    <row r="1412" spans="4:4" x14ac:dyDescent="0.2">
      <c r="D1412" s="7"/>
    </row>
    <row r="1413" spans="4:4" x14ac:dyDescent="0.2">
      <c r="D1413" s="7"/>
    </row>
    <row r="1414" spans="4:4" x14ac:dyDescent="0.2">
      <c r="D1414" s="7"/>
    </row>
    <row r="1415" spans="4:4" x14ac:dyDescent="0.2">
      <c r="D1415" s="7"/>
    </row>
    <row r="1416" spans="4:4" x14ac:dyDescent="0.2">
      <c r="D1416" s="7"/>
    </row>
    <row r="1417" spans="4:4" x14ac:dyDescent="0.2">
      <c r="D1417" s="7"/>
    </row>
    <row r="1418" spans="4:4" x14ac:dyDescent="0.2">
      <c r="D1418" s="7"/>
    </row>
    <row r="1419" spans="4:4" x14ac:dyDescent="0.2">
      <c r="D1419" s="7"/>
    </row>
    <row r="1420" spans="4:4" x14ac:dyDescent="0.2">
      <c r="D1420" s="7"/>
    </row>
    <row r="1421" spans="4:4" x14ac:dyDescent="0.2">
      <c r="D1421" s="7"/>
    </row>
    <row r="1422" spans="4:4" x14ac:dyDescent="0.2">
      <c r="D1422" s="7"/>
    </row>
    <row r="1423" spans="4:4" x14ac:dyDescent="0.2">
      <c r="D1423" s="7"/>
    </row>
    <row r="1424" spans="4:4" x14ac:dyDescent="0.2">
      <c r="D1424" s="7"/>
    </row>
    <row r="1425" spans="4:4" x14ac:dyDescent="0.2">
      <c r="D1425" s="7"/>
    </row>
    <row r="1426" spans="4:4" x14ac:dyDescent="0.2">
      <c r="D1426" s="7"/>
    </row>
    <row r="1427" spans="4:4" x14ac:dyDescent="0.2">
      <c r="D1427" s="7"/>
    </row>
    <row r="1428" spans="4:4" x14ac:dyDescent="0.2">
      <c r="D1428" s="7"/>
    </row>
    <row r="1429" spans="4:4" x14ac:dyDescent="0.2">
      <c r="D1429" s="7"/>
    </row>
    <row r="1430" spans="4:4" x14ac:dyDescent="0.2">
      <c r="D1430" s="7"/>
    </row>
    <row r="1431" spans="4:4" x14ac:dyDescent="0.2">
      <c r="D1431" s="7"/>
    </row>
    <row r="1432" spans="4:4" x14ac:dyDescent="0.2">
      <c r="D1432" s="7"/>
    </row>
    <row r="1433" spans="4:4" x14ac:dyDescent="0.2">
      <c r="D1433" s="7"/>
    </row>
    <row r="1434" spans="4:4" x14ac:dyDescent="0.2">
      <c r="D1434" s="7"/>
    </row>
    <row r="1435" spans="4:4" x14ac:dyDescent="0.2">
      <c r="D1435" s="7"/>
    </row>
    <row r="1436" spans="4:4" x14ac:dyDescent="0.2">
      <c r="D1436" s="7"/>
    </row>
    <row r="1437" spans="4:4" x14ac:dyDescent="0.2">
      <c r="D1437" s="7"/>
    </row>
    <row r="1438" spans="4:4" x14ac:dyDescent="0.2">
      <c r="D1438" s="7"/>
    </row>
    <row r="1439" spans="4:4" x14ac:dyDescent="0.2">
      <c r="D1439" s="7"/>
    </row>
    <row r="1440" spans="4:4" x14ac:dyDescent="0.2">
      <c r="D1440" s="7"/>
    </row>
    <row r="1441" spans="4:4" x14ac:dyDescent="0.2">
      <c r="D1441" s="7"/>
    </row>
    <row r="1442" spans="4:4" x14ac:dyDescent="0.2">
      <c r="D1442" s="7"/>
    </row>
    <row r="1443" spans="4:4" x14ac:dyDescent="0.2">
      <c r="D1443" s="7"/>
    </row>
    <row r="1444" spans="4:4" x14ac:dyDescent="0.2">
      <c r="D1444" s="7"/>
    </row>
    <row r="1445" spans="4:4" x14ac:dyDescent="0.2">
      <c r="D1445" s="7"/>
    </row>
    <row r="1446" spans="4:4" x14ac:dyDescent="0.2">
      <c r="D1446" s="7"/>
    </row>
    <row r="1447" spans="4:4" x14ac:dyDescent="0.2">
      <c r="D1447" s="7"/>
    </row>
    <row r="1448" spans="4:4" x14ac:dyDescent="0.2">
      <c r="D1448" s="7"/>
    </row>
    <row r="1449" spans="4:4" x14ac:dyDescent="0.2">
      <c r="D1449" s="7"/>
    </row>
    <row r="1450" spans="4:4" x14ac:dyDescent="0.2">
      <c r="D1450" s="7"/>
    </row>
    <row r="1451" spans="4:4" x14ac:dyDescent="0.2">
      <c r="D1451" s="7"/>
    </row>
    <row r="1452" spans="4:4" x14ac:dyDescent="0.2">
      <c r="D1452" s="7"/>
    </row>
    <row r="1453" spans="4:4" x14ac:dyDescent="0.2">
      <c r="D1453" s="7"/>
    </row>
    <row r="1454" spans="4:4" x14ac:dyDescent="0.2">
      <c r="D1454" s="7"/>
    </row>
    <row r="1455" spans="4:4" x14ac:dyDescent="0.2">
      <c r="D1455" s="7"/>
    </row>
    <row r="1456" spans="4:4" x14ac:dyDescent="0.2">
      <c r="D1456" s="7"/>
    </row>
    <row r="1457" spans="4:4" x14ac:dyDescent="0.2">
      <c r="D1457" s="7"/>
    </row>
    <row r="1458" spans="4:4" x14ac:dyDescent="0.2">
      <c r="D1458" s="7"/>
    </row>
    <row r="1459" spans="4:4" x14ac:dyDescent="0.2">
      <c r="D1459" s="7"/>
    </row>
    <row r="1460" spans="4:4" x14ac:dyDescent="0.2">
      <c r="D1460" s="7"/>
    </row>
    <row r="1461" spans="4:4" x14ac:dyDescent="0.2">
      <c r="D1461" s="7"/>
    </row>
    <row r="1462" spans="4:4" x14ac:dyDescent="0.2">
      <c r="D1462" s="7"/>
    </row>
    <row r="1463" spans="4:4" x14ac:dyDescent="0.2">
      <c r="D1463" s="7"/>
    </row>
    <row r="1464" spans="4:4" x14ac:dyDescent="0.2">
      <c r="D1464" s="7"/>
    </row>
    <row r="1465" spans="4:4" x14ac:dyDescent="0.2">
      <c r="D1465" s="7"/>
    </row>
    <row r="1466" spans="4:4" x14ac:dyDescent="0.2">
      <c r="D1466" s="7"/>
    </row>
    <row r="1467" spans="4:4" x14ac:dyDescent="0.2">
      <c r="D1467" s="7"/>
    </row>
    <row r="1468" spans="4:4" x14ac:dyDescent="0.2">
      <c r="D1468" s="7"/>
    </row>
    <row r="1469" spans="4:4" x14ac:dyDescent="0.2">
      <c r="D1469" s="7"/>
    </row>
    <row r="1470" spans="4:4" x14ac:dyDescent="0.2">
      <c r="D1470" s="7"/>
    </row>
    <row r="1471" spans="4:4" x14ac:dyDescent="0.2">
      <c r="D1471" s="7"/>
    </row>
    <row r="1472" spans="4:4" x14ac:dyDescent="0.2">
      <c r="D1472" s="7"/>
    </row>
    <row r="1473" spans="4:4" x14ac:dyDescent="0.2">
      <c r="D1473" s="7"/>
    </row>
    <row r="1474" spans="4:4" x14ac:dyDescent="0.2">
      <c r="D1474" s="7"/>
    </row>
    <row r="1475" spans="4:4" x14ac:dyDescent="0.2">
      <c r="D1475" s="7"/>
    </row>
    <row r="1476" spans="4:4" x14ac:dyDescent="0.2">
      <c r="D1476" s="7"/>
    </row>
    <row r="1477" spans="4:4" x14ac:dyDescent="0.2">
      <c r="D1477" s="7"/>
    </row>
    <row r="1478" spans="4:4" x14ac:dyDescent="0.2">
      <c r="D1478" s="7"/>
    </row>
    <row r="1479" spans="4:4" x14ac:dyDescent="0.2">
      <c r="D1479" s="7"/>
    </row>
    <row r="1480" spans="4:4" x14ac:dyDescent="0.2">
      <c r="D1480" s="7"/>
    </row>
    <row r="1481" spans="4:4" x14ac:dyDescent="0.2">
      <c r="D1481" s="7"/>
    </row>
    <row r="1482" spans="4:4" x14ac:dyDescent="0.2">
      <c r="D1482" s="7"/>
    </row>
    <row r="1483" spans="4:4" x14ac:dyDescent="0.2">
      <c r="D1483" s="7"/>
    </row>
    <row r="1484" spans="4:4" x14ac:dyDescent="0.2">
      <c r="D1484" s="7"/>
    </row>
    <row r="1485" spans="4:4" x14ac:dyDescent="0.2">
      <c r="D1485" s="7"/>
    </row>
    <row r="1486" spans="4:4" x14ac:dyDescent="0.2">
      <c r="D1486" s="7"/>
    </row>
    <row r="1487" spans="4:4" x14ac:dyDescent="0.2">
      <c r="D1487" s="7"/>
    </row>
    <row r="1488" spans="4:4" x14ac:dyDescent="0.2">
      <c r="D1488" s="7"/>
    </row>
    <row r="1489" spans="4:4" x14ac:dyDescent="0.2">
      <c r="D1489" s="7"/>
    </row>
    <row r="1490" spans="4:4" x14ac:dyDescent="0.2">
      <c r="D1490" s="7"/>
    </row>
    <row r="1491" spans="4:4" x14ac:dyDescent="0.2">
      <c r="D1491" s="7"/>
    </row>
    <row r="1492" spans="4:4" x14ac:dyDescent="0.2">
      <c r="D1492" s="7"/>
    </row>
    <row r="1493" spans="4:4" x14ac:dyDescent="0.2">
      <c r="D1493" s="7"/>
    </row>
    <row r="1494" spans="4:4" x14ac:dyDescent="0.2">
      <c r="D1494" s="7"/>
    </row>
    <row r="1495" spans="4:4" x14ac:dyDescent="0.2">
      <c r="D1495" s="7"/>
    </row>
    <row r="1496" spans="4:4" x14ac:dyDescent="0.2">
      <c r="D1496" s="7"/>
    </row>
    <row r="1497" spans="4:4" x14ac:dyDescent="0.2">
      <c r="D1497" s="7"/>
    </row>
    <row r="1498" spans="4:4" x14ac:dyDescent="0.2">
      <c r="D1498" s="7"/>
    </row>
    <row r="1499" spans="4:4" x14ac:dyDescent="0.2">
      <c r="D1499" s="7"/>
    </row>
    <row r="1500" spans="4:4" x14ac:dyDescent="0.2">
      <c r="D1500" s="7"/>
    </row>
    <row r="1501" spans="4:4" x14ac:dyDescent="0.2">
      <c r="D1501" s="7"/>
    </row>
    <row r="1502" spans="4:4" x14ac:dyDescent="0.2">
      <c r="D1502" s="7"/>
    </row>
    <row r="1503" spans="4:4" x14ac:dyDescent="0.2">
      <c r="D1503" s="7"/>
    </row>
    <row r="1504" spans="4:4" x14ac:dyDescent="0.2">
      <c r="D1504" s="7"/>
    </row>
    <row r="1505" spans="4:4" x14ac:dyDescent="0.2">
      <c r="D1505" s="7"/>
    </row>
    <row r="1506" spans="4:4" x14ac:dyDescent="0.2">
      <c r="D1506" s="7"/>
    </row>
    <row r="1507" spans="4:4" x14ac:dyDescent="0.2">
      <c r="D1507" s="7"/>
    </row>
    <row r="1508" spans="4:4" x14ac:dyDescent="0.2">
      <c r="D1508" s="7"/>
    </row>
    <row r="1509" spans="4:4" x14ac:dyDescent="0.2">
      <c r="D1509" s="7"/>
    </row>
    <row r="1510" spans="4:4" x14ac:dyDescent="0.2">
      <c r="D1510" s="7"/>
    </row>
    <row r="1511" spans="4:4" x14ac:dyDescent="0.2">
      <c r="D1511" s="7"/>
    </row>
    <row r="1512" spans="4:4" x14ac:dyDescent="0.2">
      <c r="D1512" s="7"/>
    </row>
    <row r="1513" spans="4:4" x14ac:dyDescent="0.2">
      <c r="D1513" s="7"/>
    </row>
    <row r="1514" spans="4:4" x14ac:dyDescent="0.2">
      <c r="D1514" s="7"/>
    </row>
    <row r="1515" spans="4:4" x14ac:dyDescent="0.2">
      <c r="D1515" s="7"/>
    </row>
    <row r="1516" spans="4:4" x14ac:dyDescent="0.2">
      <c r="D1516" s="7"/>
    </row>
    <row r="1517" spans="4:4" x14ac:dyDescent="0.2">
      <c r="D1517" s="7"/>
    </row>
    <row r="1518" spans="4:4" x14ac:dyDescent="0.2">
      <c r="D1518" s="7"/>
    </row>
    <row r="1519" spans="4:4" x14ac:dyDescent="0.2">
      <c r="D1519" s="7"/>
    </row>
    <row r="1520" spans="4:4" x14ac:dyDescent="0.2">
      <c r="D1520" s="7"/>
    </row>
    <row r="1521" spans="4:4" x14ac:dyDescent="0.2">
      <c r="D1521" s="7"/>
    </row>
    <row r="1522" spans="4:4" x14ac:dyDescent="0.2">
      <c r="D1522" s="7"/>
    </row>
    <row r="1523" spans="4:4" x14ac:dyDescent="0.2">
      <c r="D1523" s="7"/>
    </row>
    <row r="1524" spans="4:4" x14ac:dyDescent="0.2">
      <c r="D1524" s="7"/>
    </row>
    <row r="1525" spans="4:4" x14ac:dyDescent="0.2">
      <c r="D1525" s="7"/>
    </row>
    <row r="1526" spans="4:4" x14ac:dyDescent="0.2">
      <c r="D1526" s="7"/>
    </row>
    <row r="1527" spans="4:4" x14ac:dyDescent="0.2">
      <c r="D1527" s="7"/>
    </row>
    <row r="1528" spans="4:4" x14ac:dyDescent="0.2">
      <c r="D1528" s="7"/>
    </row>
    <row r="1529" spans="4:4" x14ac:dyDescent="0.2">
      <c r="D1529" s="7"/>
    </row>
    <row r="1530" spans="4:4" x14ac:dyDescent="0.2">
      <c r="D1530" s="7"/>
    </row>
    <row r="1531" spans="4:4" x14ac:dyDescent="0.2">
      <c r="D1531" s="7"/>
    </row>
    <row r="1532" spans="4:4" x14ac:dyDescent="0.2">
      <c r="D1532" s="7"/>
    </row>
    <row r="1533" spans="4:4" x14ac:dyDescent="0.2">
      <c r="D1533" s="7"/>
    </row>
    <row r="1534" spans="4:4" x14ac:dyDescent="0.2">
      <c r="D1534" s="7"/>
    </row>
    <row r="1535" spans="4:4" x14ac:dyDescent="0.2">
      <c r="D1535" s="7"/>
    </row>
    <row r="1536" spans="4:4" x14ac:dyDescent="0.2">
      <c r="D1536" s="7"/>
    </row>
    <row r="1537" spans="4:4" x14ac:dyDescent="0.2">
      <c r="D1537" s="7"/>
    </row>
    <row r="1538" spans="4:4" x14ac:dyDescent="0.2">
      <c r="D1538" s="7"/>
    </row>
    <row r="1539" spans="4:4" x14ac:dyDescent="0.2">
      <c r="D1539" s="7"/>
    </row>
    <row r="1540" spans="4:4" x14ac:dyDescent="0.2">
      <c r="D1540" s="7"/>
    </row>
    <row r="1541" spans="4:4" x14ac:dyDescent="0.2">
      <c r="D1541" s="7"/>
    </row>
    <row r="1542" spans="4:4" x14ac:dyDescent="0.2">
      <c r="D1542" s="7"/>
    </row>
    <row r="1543" spans="4:4" x14ac:dyDescent="0.2">
      <c r="D1543" s="7"/>
    </row>
    <row r="1544" spans="4:4" x14ac:dyDescent="0.2">
      <c r="D1544" s="7"/>
    </row>
    <row r="1545" spans="4:4" x14ac:dyDescent="0.2">
      <c r="D1545" s="7"/>
    </row>
    <row r="1546" spans="4:4" x14ac:dyDescent="0.2">
      <c r="D1546" s="7"/>
    </row>
    <row r="1547" spans="4:4" x14ac:dyDescent="0.2">
      <c r="D1547" s="7"/>
    </row>
    <row r="1548" spans="4:4" x14ac:dyDescent="0.2">
      <c r="D1548" s="7"/>
    </row>
    <row r="1549" spans="4:4" x14ac:dyDescent="0.2">
      <c r="D1549" s="7"/>
    </row>
    <row r="1550" spans="4:4" x14ac:dyDescent="0.2">
      <c r="D1550" s="7"/>
    </row>
    <row r="1551" spans="4:4" x14ac:dyDescent="0.2">
      <c r="D1551" s="7"/>
    </row>
    <row r="1552" spans="4:4" x14ac:dyDescent="0.2">
      <c r="D1552" s="7"/>
    </row>
    <row r="1553" spans="4:4" x14ac:dyDescent="0.2">
      <c r="D1553" s="7"/>
    </row>
    <row r="1554" spans="4:4" x14ac:dyDescent="0.2">
      <c r="D1554" s="7"/>
    </row>
    <row r="1555" spans="4:4" x14ac:dyDescent="0.2">
      <c r="D1555" s="7"/>
    </row>
    <row r="1556" spans="4:4" x14ac:dyDescent="0.2">
      <c r="D1556" s="7"/>
    </row>
    <row r="1557" spans="4:4" x14ac:dyDescent="0.2">
      <c r="D1557" s="7"/>
    </row>
    <row r="1558" spans="4:4" x14ac:dyDescent="0.2">
      <c r="D1558" s="7"/>
    </row>
    <row r="1559" spans="4:4" x14ac:dyDescent="0.2">
      <c r="D1559" s="7"/>
    </row>
    <row r="1560" spans="4:4" x14ac:dyDescent="0.2">
      <c r="D1560" s="7"/>
    </row>
    <row r="1561" spans="4:4" x14ac:dyDescent="0.2">
      <c r="D1561" s="7"/>
    </row>
    <row r="1562" spans="4:4" x14ac:dyDescent="0.2">
      <c r="D1562" s="7"/>
    </row>
    <row r="1563" spans="4:4" x14ac:dyDescent="0.2">
      <c r="D1563" s="7"/>
    </row>
    <row r="1564" spans="4:4" x14ac:dyDescent="0.2">
      <c r="D1564" s="7"/>
    </row>
    <row r="1565" spans="4:4" x14ac:dyDescent="0.2">
      <c r="D1565" s="7"/>
    </row>
    <row r="1566" spans="4:4" x14ac:dyDescent="0.2">
      <c r="D1566" s="7"/>
    </row>
    <row r="1567" spans="4:4" x14ac:dyDescent="0.2">
      <c r="D1567" s="7"/>
    </row>
    <row r="1568" spans="4:4" x14ac:dyDescent="0.2">
      <c r="D1568" s="7"/>
    </row>
    <row r="1569" spans="4:4" x14ac:dyDescent="0.2">
      <c r="D1569" s="7"/>
    </row>
    <row r="1570" spans="4:4" x14ac:dyDescent="0.2">
      <c r="D1570" s="7"/>
    </row>
    <row r="1571" spans="4:4" x14ac:dyDescent="0.2">
      <c r="D1571" s="7"/>
    </row>
    <row r="1572" spans="4:4" x14ac:dyDescent="0.2">
      <c r="D1572" s="7"/>
    </row>
    <row r="1573" spans="4:4" x14ac:dyDescent="0.2">
      <c r="D1573" s="7"/>
    </row>
    <row r="1574" spans="4:4" x14ac:dyDescent="0.2">
      <c r="D1574" s="7"/>
    </row>
    <row r="1575" spans="4:4" x14ac:dyDescent="0.2">
      <c r="D1575" s="7"/>
    </row>
    <row r="1576" spans="4:4" x14ac:dyDescent="0.2">
      <c r="D1576" s="7"/>
    </row>
    <row r="1577" spans="4:4" x14ac:dyDescent="0.2">
      <c r="D1577" s="7"/>
    </row>
    <row r="1578" spans="4:4" x14ac:dyDescent="0.2">
      <c r="D1578" s="7"/>
    </row>
    <row r="1579" spans="4:4" x14ac:dyDescent="0.2">
      <c r="D1579" s="7"/>
    </row>
    <row r="1580" spans="4:4" x14ac:dyDescent="0.2">
      <c r="D1580" s="7"/>
    </row>
    <row r="1581" spans="4:4" x14ac:dyDescent="0.2">
      <c r="D1581" s="7"/>
    </row>
    <row r="1582" spans="4:4" x14ac:dyDescent="0.2">
      <c r="D1582" s="7"/>
    </row>
    <row r="1583" spans="4:4" x14ac:dyDescent="0.2">
      <c r="D1583" s="7"/>
    </row>
    <row r="1584" spans="4:4" x14ac:dyDescent="0.2">
      <c r="D1584" s="7"/>
    </row>
    <row r="1585" spans="4:4" x14ac:dyDescent="0.2">
      <c r="D1585" s="7"/>
    </row>
    <row r="1586" spans="4:4" x14ac:dyDescent="0.2">
      <c r="D1586" s="7"/>
    </row>
    <row r="1587" spans="4:4" x14ac:dyDescent="0.2">
      <c r="D1587" s="7"/>
    </row>
    <row r="1588" spans="4:4" x14ac:dyDescent="0.2">
      <c r="D1588" s="7"/>
    </row>
    <row r="1589" spans="4:4" x14ac:dyDescent="0.2">
      <c r="D1589" s="7"/>
    </row>
    <row r="1590" spans="4:4" x14ac:dyDescent="0.2">
      <c r="D1590" s="7"/>
    </row>
    <row r="1591" spans="4:4" x14ac:dyDescent="0.2">
      <c r="D1591" s="7"/>
    </row>
    <row r="1592" spans="4:4" x14ac:dyDescent="0.2">
      <c r="D1592" s="7"/>
    </row>
    <row r="1593" spans="4:4" x14ac:dyDescent="0.2">
      <c r="D1593" s="7"/>
    </row>
    <row r="1594" spans="4:4" x14ac:dyDescent="0.2">
      <c r="D1594" s="7"/>
    </row>
    <row r="1595" spans="4:4" x14ac:dyDescent="0.2">
      <c r="D1595" s="7"/>
    </row>
    <row r="1596" spans="4:4" x14ac:dyDescent="0.2">
      <c r="D1596" s="7"/>
    </row>
    <row r="1597" spans="4:4" x14ac:dyDescent="0.2">
      <c r="D1597" s="7"/>
    </row>
    <row r="1598" spans="4:4" x14ac:dyDescent="0.2">
      <c r="D1598" s="7"/>
    </row>
    <row r="1599" spans="4:4" x14ac:dyDescent="0.2">
      <c r="D1599" s="7"/>
    </row>
    <row r="1600" spans="4:4" x14ac:dyDescent="0.2">
      <c r="D1600" s="7"/>
    </row>
    <row r="1601" spans="4:4" x14ac:dyDescent="0.2">
      <c r="D1601" s="7"/>
    </row>
    <row r="1602" spans="4:4" x14ac:dyDescent="0.2">
      <c r="D1602" s="7"/>
    </row>
    <row r="1603" spans="4:4" x14ac:dyDescent="0.2">
      <c r="D1603" s="7"/>
    </row>
    <row r="1604" spans="4:4" x14ac:dyDescent="0.2">
      <c r="D1604" s="7"/>
    </row>
    <row r="1605" spans="4:4" x14ac:dyDescent="0.2">
      <c r="D1605" s="7"/>
    </row>
    <row r="1606" spans="4:4" x14ac:dyDescent="0.2">
      <c r="D1606" s="7"/>
    </row>
    <row r="1607" spans="4:4" x14ac:dyDescent="0.2">
      <c r="D1607" s="7"/>
    </row>
    <row r="1608" spans="4:4" x14ac:dyDescent="0.2">
      <c r="D1608" s="7"/>
    </row>
    <row r="1609" spans="4:4" x14ac:dyDescent="0.2">
      <c r="D1609" s="7"/>
    </row>
    <row r="1610" spans="4:4" x14ac:dyDescent="0.2">
      <c r="D1610" s="7"/>
    </row>
    <row r="1611" spans="4:4" x14ac:dyDescent="0.2">
      <c r="D1611" s="7"/>
    </row>
    <row r="1612" spans="4:4" x14ac:dyDescent="0.2">
      <c r="D1612" s="7"/>
    </row>
    <row r="1613" spans="4:4" x14ac:dyDescent="0.2">
      <c r="D1613" s="7"/>
    </row>
    <row r="1614" spans="4:4" x14ac:dyDescent="0.2">
      <c r="D1614" s="7"/>
    </row>
    <row r="1615" spans="4:4" x14ac:dyDescent="0.2">
      <c r="D1615" s="7"/>
    </row>
    <row r="1616" spans="4:4" x14ac:dyDescent="0.2">
      <c r="D1616" s="7"/>
    </row>
    <row r="1617" spans="4:4" x14ac:dyDescent="0.2">
      <c r="D1617" s="7"/>
    </row>
    <row r="1618" spans="4:4" x14ac:dyDescent="0.2">
      <c r="D1618" s="7"/>
    </row>
    <row r="1619" spans="4:4" x14ac:dyDescent="0.2">
      <c r="D1619" s="7"/>
    </row>
    <row r="1620" spans="4:4" x14ac:dyDescent="0.2">
      <c r="D1620" s="7"/>
    </row>
    <row r="1621" spans="4:4" x14ac:dyDescent="0.2">
      <c r="D1621" s="7"/>
    </row>
    <row r="1622" spans="4:4" x14ac:dyDescent="0.2">
      <c r="D1622" s="7"/>
    </row>
    <row r="1623" spans="4:4" x14ac:dyDescent="0.2">
      <c r="D1623" s="7"/>
    </row>
    <row r="1624" spans="4:4" x14ac:dyDescent="0.2">
      <c r="D1624" s="7"/>
    </row>
    <row r="1625" spans="4:4" x14ac:dyDescent="0.2">
      <c r="D1625" s="7"/>
    </row>
    <row r="1626" spans="4:4" x14ac:dyDescent="0.2">
      <c r="D1626" s="7"/>
    </row>
    <row r="1627" spans="4:4" x14ac:dyDescent="0.2">
      <c r="D1627" s="7"/>
    </row>
    <row r="1628" spans="4:4" x14ac:dyDescent="0.2">
      <c r="D1628" s="7"/>
    </row>
    <row r="1629" spans="4:4" x14ac:dyDescent="0.2">
      <c r="D1629" s="7"/>
    </row>
    <row r="1630" spans="4:4" x14ac:dyDescent="0.2">
      <c r="D1630" s="7"/>
    </row>
    <row r="1631" spans="4:4" x14ac:dyDescent="0.2">
      <c r="D1631" s="7"/>
    </row>
    <row r="1632" spans="4:4" x14ac:dyDescent="0.2">
      <c r="D1632" s="7"/>
    </row>
    <row r="1633" spans="4:4" x14ac:dyDescent="0.2">
      <c r="D1633" s="7"/>
    </row>
    <row r="1634" spans="4:4" x14ac:dyDescent="0.2">
      <c r="D1634" s="7"/>
    </row>
    <row r="1635" spans="4:4" x14ac:dyDescent="0.2">
      <c r="D1635" s="7"/>
    </row>
    <row r="1636" spans="4:4" x14ac:dyDescent="0.2">
      <c r="D1636" s="7"/>
    </row>
    <row r="1637" spans="4:4" x14ac:dyDescent="0.2">
      <c r="D1637" s="7"/>
    </row>
    <row r="1638" spans="4:4" x14ac:dyDescent="0.2">
      <c r="D1638" s="7"/>
    </row>
    <row r="1639" spans="4:4" x14ac:dyDescent="0.2">
      <c r="D1639" s="7"/>
    </row>
    <row r="1640" spans="4:4" x14ac:dyDescent="0.2">
      <c r="D1640" s="7"/>
    </row>
    <row r="1641" spans="4:4" x14ac:dyDescent="0.2">
      <c r="D1641" s="7"/>
    </row>
    <row r="1642" spans="4:4" x14ac:dyDescent="0.2">
      <c r="D1642" s="7"/>
    </row>
    <row r="1643" spans="4:4" x14ac:dyDescent="0.2">
      <c r="D1643" s="7"/>
    </row>
    <row r="1644" spans="4:4" x14ac:dyDescent="0.2">
      <c r="D1644" s="7"/>
    </row>
    <row r="1645" spans="4:4" x14ac:dyDescent="0.2">
      <c r="D1645" s="7"/>
    </row>
    <row r="1646" spans="4:4" x14ac:dyDescent="0.2">
      <c r="D1646" s="7"/>
    </row>
    <row r="1647" spans="4:4" x14ac:dyDescent="0.2">
      <c r="D1647" s="7"/>
    </row>
    <row r="1648" spans="4:4" x14ac:dyDescent="0.2">
      <c r="D1648" s="7"/>
    </row>
    <row r="1649" spans="4:4" x14ac:dyDescent="0.2">
      <c r="D1649" s="7"/>
    </row>
    <row r="1650" spans="4:4" x14ac:dyDescent="0.2">
      <c r="D1650" s="7"/>
    </row>
    <row r="1651" spans="4:4" x14ac:dyDescent="0.2">
      <c r="D1651" s="7"/>
    </row>
    <row r="1652" spans="4:4" x14ac:dyDescent="0.2">
      <c r="D1652" s="7"/>
    </row>
    <row r="1653" spans="4:4" x14ac:dyDescent="0.2">
      <c r="D1653" s="7"/>
    </row>
    <row r="1654" spans="4:4" x14ac:dyDescent="0.2">
      <c r="D1654" s="7"/>
    </row>
    <row r="1655" spans="4:4" x14ac:dyDescent="0.2">
      <c r="D1655" s="7"/>
    </row>
    <row r="1656" spans="4:4" x14ac:dyDescent="0.2">
      <c r="D1656" s="7"/>
    </row>
    <row r="1657" spans="4:4" x14ac:dyDescent="0.2">
      <c r="D1657" s="7"/>
    </row>
    <row r="1658" spans="4:4" x14ac:dyDescent="0.2">
      <c r="D1658" s="7"/>
    </row>
    <row r="1659" spans="4:4" x14ac:dyDescent="0.2">
      <c r="D1659" s="7"/>
    </row>
    <row r="1660" spans="4:4" x14ac:dyDescent="0.2">
      <c r="D1660" s="7"/>
    </row>
    <row r="1661" spans="4:4" x14ac:dyDescent="0.2">
      <c r="D1661" s="7"/>
    </row>
    <row r="1662" spans="4:4" x14ac:dyDescent="0.2">
      <c r="D1662" s="7"/>
    </row>
    <row r="1663" spans="4:4" x14ac:dyDescent="0.2">
      <c r="D1663" s="7"/>
    </row>
    <row r="1664" spans="4:4" x14ac:dyDescent="0.2">
      <c r="D1664" s="7"/>
    </row>
    <row r="1665" spans="4:4" x14ac:dyDescent="0.2">
      <c r="D1665" s="7"/>
    </row>
    <row r="1666" spans="4:4" x14ac:dyDescent="0.2">
      <c r="D1666" s="7"/>
    </row>
    <row r="1667" spans="4:4" x14ac:dyDescent="0.2">
      <c r="D1667" s="7"/>
    </row>
    <row r="1668" spans="4:4" x14ac:dyDescent="0.2">
      <c r="D1668" s="7"/>
    </row>
    <row r="1669" spans="4:4" x14ac:dyDescent="0.2">
      <c r="D1669" s="7"/>
    </row>
    <row r="1670" spans="4:4" x14ac:dyDescent="0.2">
      <c r="D1670" s="7"/>
    </row>
    <row r="1671" spans="4:4" x14ac:dyDescent="0.2">
      <c r="D1671" s="7"/>
    </row>
    <row r="1672" spans="4:4" x14ac:dyDescent="0.2">
      <c r="D1672" s="7"/>
    </row>
    <row r="1673" spans="4:4" x14ac:dyDescent="0.2">
      <c r="D1673" s="7"/>
    </row>
    <row r="1674" spans="4:4" x14ac:dyDescent="0.2">
      <c r="D1674" s="7"/>
    </row>
    <row r="1675" spans="4:4" x14ac:dyDescent="0.2">
      <c r="D1675" s="7"/>
    </row>
    <row r="1676" spans="4:4" x14ac:dyDescent="0.2">
      <c r="D1676" s="7"/>
    </row>
    <row r="1677" spans="4:4" x14ac:dyDescent="0.2">
      <c r="D1677" s="7"/>
    </row>
    <row r="1678" spans="4:4" x14ac:dyDescent="0.2">
      <c r="D1678" s="7"/>
    </row>
    <row r="1679" spans="4:4" x14ac:dyDescent="0.2">
      <c r="D1679" s="7"/>
    </row>
    <row r="1680" spans="4:4" x14ac:dyDescent="0.2">
      <c r="D1680" s="7"/>
    </row>
    <row r="1681" spans="4:4" x14ac:dyDescent="0.2">
      <c r="D1681" s="7"/>
    </row>
    <row r="1682" spans="4:4" x14ac:dyDescent="0.2">
      <c r="D1682" s="7"/>
    </row>
    <row r="1683" spans="4:4" x14ac:dyDescent="0.2">
      <c r="D1683" s="7"/>
    </row>
    <row r="1684" spans="4:4" x14ac:dyDescent="0.2">
      <c r="D1684" s="7"/>
    </row>
    <row r="1685" spans="4:4" x14ac:dyDescent="0.2">
      <c r="D1685" s="7"/>
    </row>
    <row r="1686" spans="4:4" x14ac:dyDescent="0.2">
      <c r="D1686" s="7"/>
    </row>
    <row r="1687" spans="4:4" x14ac:dyDescent="0.2">
      <c r="D1687" s="7"/>
    </row>
    <row r="1688" spans="4:4" x14ac:dyDescent="0.2">
      <c r="D1688" s="7"/>
    </row>
    <row r="1689" spans="4:4" x14ac:dyDescent="0.2">
      <c r="D1689" s="7"/>
    </row>
    <row r="1690" spans="4:4" x14ac:dyDescent="0.2">
      <c r="D1690" s="7"/>
    </row>
    <row r="1691" spans="4:4" x14ac:dyDescent="0.2">
      <c r="D1691" s="7"/>
    </row>
    <row r="1692" spans="4:4" x14ac:dyDescent="0.2">
      <c r="D1692" s="7"/>
    </row>
    <row r="1693" spans="4:4" x14ac:dyDescent="0.2">
      <c r="D1693" s="7"/>
    </row>
    <row r="1694" spans="4:4" x14ac:dyDescent="0.2">
      <c r="D1694" s="7"/>
    </row>
    <row r="1695" spans="4:4" x14ac:dyDescent="0.2">
      <c r="D1695" s="7"/>
    </row>
    <row r="1696" spans="4:4" x14ac:dyDescent="0.2">
      <c r="D1696" s="7"/>
    </row>
    <row r="1697" spans="4:4" x14ac:dyDescent="0.2">
      <c r="D1697" s="7"/>
    </row>
    <row r="1698" spans="4:4" x14ac:dyDescent="0.2">
      <c r="D1698" s="7"/>
    </row>
    <row r="1699" spans="4:4" x14ac:dyDescent="0.2">
      <c r="D1699" s="7"/>
    </row>
    <row r="1700" spans="4:4" x14ac:dyDescent="0.2">
      <c r="D1700" s="7"/>
    </row>
    <row r="1701" spans="4:4" x14ac:dyDescent="0.2">
      <c r="D1701" s="7"/>
    </row>
    <row r="1702" spans="4:4" x14ac:dyDescent="0.2">
      <c r="D1702" s="7"/>
    </row>
    <row r="1703" spans="4:4" x14ac:dyDescent="0.2">
      <c r="D1703" s="7"/>
    </row>
    <row r="1704" spans="4:4" x14ac:dyDescent="0.2">
      <c r="D1704" s="7"/>
    </row>
    <row r="1705" spans="4:4" x14ac:dyDescent="0.2">
      <c r="D1705" s="7"/>
    </row>
    <row r="1706" spans="4:4" x14ac:dyDescent="0.2">
      <c r="D1706" s="7"/>
    </row>
    <row r="1707" spans="4:4" x14ac:dyDescent="0.2">
      <c r="D1707" s="7"/>
    </row>
    <row r="1708" spans="4:4" x14ac:dyDescent="0.2">
      <c r="D1708" s="7"/>
    </row>
    <row r="1709" spans="4:4" x14ac:dyDescent="0.2">
      <c r="D1709" s="7"/>
    </row>
    <row r="1710" spans="4:4" x14ac:dyDescent="0.2">
      <c r="D1710" s="7"/>
    </row>
    <row r="1711" spans="4:4" x14ac:dyDescent="0.2">
      <c r="D1711" s="7"/>
    </row>
    <row r="1712" spans="4:4" x14ac:dyDescent="0.2">
      <c r="D1712" s="7"/>
    </row>
    <row r="1713" spans="4:4" x14ac:dyDescent="0.2">
      <c r="D1713" s="7"/>
    </row>
    <row r="1714" spans="4:4" x14ac:dyDescent="0.2">
      <c r="D1714" s="7"/>
    </row>
    <row r="1715" spans="4:4" x14ac:dyDescent="0.2">
      <c r="D1715" s="7"/>
    </row>
    <row r="1716" spans="4:4" x14ac:dyDescent="0.2">
      <c r="D1716" s="7"/>
    </row>
    <row r="1717" spans="4:4" x14ac:dyDescent="0.2">
      <c r="D1717" s="7"/>
    </row>
    <row r="1718" spans="4:4" x14ac:dyDescent="0.2">
      <c r="D1718" s="7"/>
    </row>
    <row r="1719" spans="4:4" x14ac:dyDescent="0.2">
      <c r="D1719" s="7"/>
    </row>
    <row r="1720" spans="4:4" x14ac:dyDescent="0.2">
      <c r="D1720" s="7"/>
    </row>
    <row r="1721" spans="4:4" x14ac:dyDescent="0.2">
      <c r="D1721" s="7"/>
    </row>
    <row r="1722" spans="4:4" x14ac:dyDescent="0.2">
      <c r="D1722" s="7"/>
    </row>
    <row r="1723" spans="4:4" x14ac:dyDescent="0.2">
      <c r="D1723" s="7"/>
    </row>
    <row r="1724" spans="4:4" x14ac:dyDescent="0.2">
      <c r="D1724" s="7"/>
    </row>
    <row r="1725" spans="4:4" x14ac:dyDescent="0.2">
      <c r="D1725" s="7"/>
    </row>
    <row r="1726" spans="4:4" x14ac:dyDescent="0.2">
      <c r="D1726" s="7"/>
    </row>
    <row r="1727" spans="4:4" x14ac:dyDescent="0.2">
      <c r="D1727" s="7"/>
    </row>
    <row r="1728" spans="4:4" x14ac:dyDescent="0.2">
      <c r="D1728" s="7"/>
    </row>
    <row r="1729" spans="4:4" x14ac:dyDescent="0.2">
      <c r="D1729" s="7"/>
    </row>
    <row r="1730" spans="4:4" x14ac:dyDescent="0.2">
      <c r="D1730" s="7"/>
    </row>
    <row r="1731" spans="4:4" x14ac:dyDescent="0.2">
      <c r="D1731" s="7"/>
    </row>
    <row r="1732" spans="4:4" x14ac:dyDescent="0.2">
      <c r="D1732" s="7"/>
    </row>
    <row r="1733" spans="4:4" x14ac:dyDescent="0.2">
      <c r="D1733" s="7"/>
    </row>
    <row r="1734" spans="4:4" x14ac:dyDescent="0.2">
      <c r="D1734" s="7"/>
    </row>
    <row r="1735" spans="4:4" x14ac:dyDescent="0.2">
      <c r="D1735" s="7"/>
    </row>
    <row r="1736" spans="4:4" x14ac:dyDescent="0.2">
      <c r="D1736" s="7"/>
    </row>
    <row r="1737" spans="4:4" x14ac:dyDescent="0.2">
      <c r="D1737" s="7"/>
    </row>
    <row r="1738" spans="4:4" x14ac:dyDescent="0.2">
      <c r="D1738" s="7"/>
    </row>
    <row r="1739" spans="4:4" x14ac:dyDescent="0.2">
      <c r="D1739" s="7"/>
    </row>
    <row r="1740" spans="4:4" x14ac:dyDescent="0.2">
      <c r="D1740" s="7"/>
    </row>
    <row r="1741" spans="4:4" x14ac:dyDescent="0.2">
      <c r="D1741" s="7"/>
    </row>
    <row r="1742" spans="4:4" x14ac:dyDescent="0.2">
      <c r="D1742" s="7"/>
    </row>
    <row r="1743" spans="4:4" x14ac:dyDescent="0.2">
      <c r="D1743" s="7"/>
    </row>
    <row r="1744" spans="4:4" x14ac:dyDescent="0.2">
      <c r="D1744" s="7"/>
    </row>
    <row r="1745" spans="4:4" x14ac:dyDescent="0.2">
      <c r="D1745" s="7"/>
    </row>
    <row r="1746" spans="4:4" x14ac:dyDescent="0.2">
      <c r="D1746" s="7"/>
    </row>
    <row r="1747" spans="4:4" x14ac:dyDescent="0.2">
      <c r="D1747" s="7"/>
    </row>
    <row r="1748" spans="4:4" x14ac:dyDescent="0.2">
      <c r="D1748" s="7"/>
    </row>
    <row r="1749" spans="4:4" x14ac:dyDescent="0.2">
      <c r="D1749" s="7"/>
    </row>
    <row r="1750" spans="4:4" x14ac:dyDescent="0.2">
      <c r="D1750" s="7"/>
    </row>
    <row r="1751" spans="4:4" x14ac:dyDescent="0.2">
      <c r="D1751" s="7"/>
    </row>
    <row r="1752" spans="4:4" x14ac:dyDescent="0.2">
      <c r="D1752" s="7"/>
    </row>
    <row r="1753" spans="4:4" x14ac:dyDescent="0.2">
      <c r="D1753" s="7"/>
    </row>
    <row r="1754" spans="4:4" x14ac:dyDescent="0.2">
      <c r="D1754" s="7"/>
    </row>
    <row r="1755" spans="4:4" x14ac:dyDescent="0.2">
      <c r="D1755" s="7"/>
    </row>
    <row r="1756" spans="4:4" x14ac:dyDescent="0.2">
      <c r="D1756" s="7"/>
    </row>
    <row r="1757" spans="4:4" x14ac:dyDescent="0.2">
      <c r="D1757" s="7"/>
    </row>
    <row r="1758" spans="4:4" x14ac:dyDescent="0.2">
      <c r="D1758" s="7"/>
    </row>
    <row r="1759" spans="4:4" x14ac:dyDescent="0.2">
      <c r="D1759" s="7"/>
    </row>
    <row r="1760" spans="4:4" x14ac:dyDescent="0.2">
      <c r="D1760" s="7"/>
    </row>
    <row r="1761" spans="4:4" x14ac:dyDescent="0.2">
      <c r="D1761" s="7"/>
    </row>
    <row r="1762" spans="4:4" x14ac:dyDescent="0.2">
      <c r="D1762" s="7"/>
    </row>
    <row r="1763" spans="4:4" x14ac:dyDescent="0.2">
      <c r="D1763" s="7"/>
    </row>
    <row r="1764" spans="4:4" x14ac:dyDescent="0.2">
      <c r="D1764" s="7"/>
    </row>
    <row r="1765" spans="4:4" x14ac:dyDescent="0.2">
      <c r="D1765" s="7"/>
    </row>
    <row r="1766" spans="4:4" x14ac:dyDescent="0.2">
      <c r="D1766" s="7"/>
    </row>
    <row r="1767" spans="4:4" x14ac:dyDescent="0.2">
      <c r="D1767" s="7"/>
    </row>
    <row r="1768" spans="4:4" x14ac:dyDescent="0.2">
      <c r="D1768" s="7"/>
    </row>
    <row r="1769" spans="4:4" x14ac:dyDescent="0.2">
      <c r="D1769" s="7"/>
    </row>
    <row r="1770" spans="4:4" x14ac:dyDescent="0.2">
      <c r="D1770" s="7"/>
    </row>
    <row r="1771" spans="4:4" x14ac:dyDescent="0.2">
      <c r="D1771" s="7"/>
    </row>
    <row r="1772" spans="4:4" x14ac:dyDescent="0.2">
      <c r="D1772" s="7"/>
    </row>
    <row r="1773" spans="4:4" x14ac:dyDescent="0.2">
      <c r="D1773" s="7"/>
    </row>
    <row r="1774" spans="4:4" x14ac:dyDescent="0.2">
      <c r="D1774" s="7"/>
    </row>
    <row r="1775" spans="4:4" x14ac:dyDescent="0.2">
      <c r="D1775" s="7"/>
    </row>
    <row r="1776" spans="4:4" x14ac:dyDescent="0.2">
      <c r="D1776" s="7"/>
    </row>
    <row r="1777" spans="4:4" x14ac:dyDescent="0.2">
      <c r="D1777" s="7"/>
    </row>
    <row r="1778" spans="4:4" x14ac:dyDescent="0.2">
      <c r="D1778" s="7"/>
    </row>
    <row r="1779" spans="4:4" x14ac:dyDescent="0.2">
      <c r="D1779" s="7"/>
    </row>
    <row r="1780" spans="4:4" x14ac:dyDescent="0.2">
      <c r="D1780" s="7"/>
    </row>
    <row r="1781" spans="4:4" x14ac:dyDescent="0.2">
      <c r="D1781" s="7"/>
    </row>
    <row r="1782" spans="4:4" x14ac:dyDescent="0.2">
      <c r="D1782" s="7"/>
    </row>
    <row r="1783" spans="4:4" x14ac:dyDescent="0.2">
      <c r="D1783" s="7"/>
    </row>
    <row r="1784" spans="4:4" x14ac:dyDescent="0.2">
      <c r="D1784" s="7"/>
    </row>
    <row r="1785" spans="4:4" x14ac:dyDescent="0.2">
      <c r="D1785" s="7"/>
    </row>
    <row r="1786" spans="4:4" x14ac:dyDescent="0.2">
      <c r="D1786" s="7"/>
    </row>
    <row r="1787" spans="4:4" x14ac:dyDescent="0.2">
      <c r="D1787" s="7"/>
    </row>
    <row r="1788" spans="4:4" x14ac:dyDescent="0.2">
      <c r="D1788" s="7"/>
    </row>
    <row r="1789" spans="4:4" x14ac:dyDescent="0.2">
      <c r="D1789" s="7"/>
    </row>
    <row r="1790" spans="4:4" x14ac:dyDescent="0.2">
      <c r="D1790" s="7"/>
    </row>
    <row r="1791" spans="4:4" x14ac:dyDescent="0.2">
      <c r="D1791" s="7"/>
    </row>
    <row r="1792" spans="4:4" x14ac:dyDescent="0.2">
      <c r="D1792" s="7"/>
    </row>
    <row r="1793" spans="4:4" x14ac:dyDescent="0.2">
      <c r="D1793" s="7"/>
    </row>
    <row r="1794" spans="4:4" x14ac:dyDescent="0.2">
      <c r="D1794" s="7"/>
    </row>
    <row r="1795" spans="4:4" x14ac:dyDescent="0.2">
      <c r="D1795" s="7"/>
    </row>
    <row r="1796" spans="4:4" x14ac:dyDescent="0.2">
      <c r="D1796" s="7"/>
    </row>
    <row r="1797" spans="4:4" x14ac:dyDescent="0.2">
      <c r="D1797" s="7"/>
    </row>
    <row r="1798" spans="4:4" x14ac:dyDescent="0.2">
      <c r="D1798" s="7"/>
    </row>
    <row r="1799" spans="4:4" x14ac:dyDescent="0.2">
      <c r="D1799" s="7"/>
    </row>
    <row r="1800" spans="4:4" x14ac:dyDescent="0.2">
      <c r="D1800" s="7"/>
    </row>
    <row r="1801" spans="4:4" x14ac:dyDescent="0.2">
      <c r="D1801" s="7"/>
    </row>
    <row r="1802" spans="4:4" x14ac:dyDescent="0.2">
      <c r="D1802" s="7"/>
    </row>
    <row r="1803" spans="4:4" x14ac:dyDescent="0.2">
      <c r="D1803" s="7"/>
    </row>
    <row r="1804" spans="4:4" x14ac:dyDescent="0.2">
      <c r="D1804" s="7"/>
    </row>
    <row r="1805" spans="4:4" x14ac:dyDescent="0.2">
      <c r="D1805" s="7"/>
    </row>
    <row r="1806" spans="4:4" x14ac:dyDescent="0.2">
      <c r="D1806" s="7"/>
    </row>
    <row r="1807" spans="4:4" x14ac:dyDescent="0.2">
      <c r="D1807" s="7"/>
    </row>
    <row r="1808" spans="4:4" x14ac:dyDescent="0.2">
      <c r="D1808" s="7"/>
    </row>
    <row r="1809" spans="4:4" x14ac:dyDescent="0.2">
      <c r="D1809" s="7"/>
    </row>
    <row r="1810" spans="4:4" x14ac:dyDescent="0.2">
      <c r="D1810" s="7"/>
    </row>
    <row r="1811" spans="4:4" x14ac:dyDescent="0.2">
      <c r="D1811" s="7"/>
    </row>
    <row r="1812" spans="4:4" x14ac:dyDescent="0.2">
      <c r="D1812" s="7"/>
    </row>
    <row r="1813" spans="4:4" x14ac:dyDescent="0.2">
      <c r="D1813" s="7"/>
    </row>
    <row r="1814" spans="4:4" x14ac:dyDescent="0.2">
      <c r="D1814" s="7"/>
    </row>
    <row r="1815" spans="4:4" x14ac:dyDescent="0.2">
      <c r="D1815" s="7"/>
    </row>
    <row r="1816" spans="4:4" x14ac:dyDescent="0.2">
      <c r="D1816" s="7"/>
    </row>
    <row r="1817" spans="4:4" x14ac:dyDescent="0.2">
      <c r="D1817" s="7"/>
    </row>
    <row r="1818" spans="4:4" x14ac:dyDescent="0.2">
      <c r="D1818" s="7"/>
    </row>
    <row r="1819" spans="4:4" x14ac:dyDescent="0.2">
      <c r="D1819" s="7"/>
    </row>
    <row r="1820" spans="4:4" x14ac:dyDescent="0.2">
      <c r="D1820" s="7"/>
    </row>
    <row r="1821" spans="4:4" x14ac:dyDescent="0.2">
      <c r="D1821" s="7"/>
    </row>
    <row r="1822" spans="4:4" x14ac:dyDescent="0.2">
      <c r="D1822" s="7"/>
    </row>
    <row r="1823" spans="4:4" x14ac:dyDescent="0.2">
      <c r="D1823" s="7"/>
    </row>
    <row r="1824" spans="4:4" x14ac:dyDescent="0.2">
      <c r="D1824" s="7"/>
    </row>
    <row r="1825" spans="4:4" x14ac:dyDescent="0.2">
      <c r="D1825" s="7"/>
    </row>
    <row r="1826" spans="4:4" x14ac:dyDescent="0.2">
      <c r="D1826" s="7"/>
    </row>
    <row r="1827" spans="4:4" x14ac:dyDescent="0.2">
      <c r="D1827" s="7"/>
    </row>
    <row r="1828" spans="4:4" x14ac:dyDescent="0.2">
      <c r="D1828" s="7"/>
    </row>
    <row r="1829" spans="4:4" x14ac:dyDescent="0.2">
      <c r="D1829" s="7"/>
    </row>
    <row r="1830" spans="4:4" x14ac:dyDescent="0.2">
      <c r="D1830" s="7"/>
    </row>
    <row r="1831" spans="4:4" x14ac:dyDescent="0.2">
      <c r="D1831" s="7"/>
    </row>
    <row r="1832" spans="4:4" x14ac:dyDescent="0.2">
      <c r="D1832" s="7"/>
    </row>
    <row r="1833" spans="4:4" x14ac:dyDescent="0.2">
      <c r="D1833" s="7"/>
    </row>
    <row r="1834" spans="4:4" x14ac:dyDescent="0.2">
      <c r="D1834" s="7"/>
    </row>
    <row r="1835" spans="4:4" x14ac:dyDescent="0.2">
      <c r="D1835" s="7"/>
    </row>
    <row r="1836" spans="4:4" x14ac:dyDescent="0.2">
      <c r="D1836" s="7"/>
    </row>
    <row r="1837" spans="4:4" x14ac:dyDescent="0.2">
      <c r="D1837" s="7"/>
    </row>
    <row r="1838" spans="4:4" x14ac:dyDescent="0.2">
      <c r="D1838" s="7"/>
    </row>
    <row r="1839" spans="4:4" x14ac:dyDescent="0.2">
      <c r="D1839" s="7"/>
    </row>
    <row r="1840" spans="4:4" x14ac:dyDescent="0.2">
      <c r="D1840" s="7"/>
    </row>
    <row r="1841" spans="4:4" x14ac:dyDescent="0.2">
      <c r="D1841" s="7"/>
    </row>
    <row r="1842" spans="4:4" x14ac:dyDescent="0.2">
      <c r="D1842" s="7"/>
    </row>
    <row r="1843" spans="4:4" x14ac:dyDescent="0.2">
      <c r="D1843" s="7"/>
    </row>
    <row r="1844" spans="4:4" x14ac:dyDescent="0.2">
      <c r="D1844" s="7"/>
    </row>
    <row r="1845" spans="4:4" x14ac:dyDescent="0.2">
      <c r="D1845" s="7"/>
    </row>
    <row r="1846" spans="4:4" x14ac:dyDescent="0.2">
      <c r="D1846" s="7"/>
    </row>
    <row r="1847" spans="4:4" x14ac:dyDescent="0.2">
      <c r="D1847" s="7"/>
    </row>
    <row r="1848" spans="4:4" x14ac:dyDescent="0.2">
      <c r="D1848" s="7"/>
    </row>
    <row r="1849" spans="4:4" x14ac:dyDescent="0.2">
      <c r="D1849" s="7"/>
    </row>
    <row r="1850" spans="4:4" x14ac:dyDescent="0.2">
      <c r="D1850" s="7"/>
    </row>
    <row r="1851" spans="4:4" x14ac:dyDescent="0.2">
      <c r="D1851" s="7"/>
    </row>
    <row r="1852" spans="4:4" x14ac:dyDescent="0.2">
      <c r="D1852" s="7"/>
    </row>
    <row r="1853" spans="4:4" x14ac:dyDescent="0.2">
      <c r="D1853" s="7"/>
    </row>
    <row r="1854" spans="4:4" x14ac:dyDescent="0.2">
      <c r="D1854" s="7"/>
    </row>
    <row r="1855" spans="4:4" x14ac:dyDescent="0.2">
      <c r="D1855" s="7"/>
    </row>
    <row r="1856" spans="4:4" x14ac:dyDescent="0.2">
      <c r="D1856" s="7"/>
    </row>
    <row r="1857" spans="4:4" x14ac:dyDescent="0.2">
      <c r="D1857" s="7"/>
    </row>
    <row r="1858" spans="4:4" x14ac:dyDescent="0.2">
      <c r="D1858" s="7"/>
    </row>
    <row r="1859" spans="4:4" x14ac:dyDescent="0.2">
      <c r="D1859" s="7"/>
    </row>
    <row r="1860" spans="4:4" x14ac:dyDescent="0.2">
      <c r="D1860" s="7"/>
    </row>
    <row r="1861" spans="4:4" x14ac:dyDescent="0.2">
      <c r="D1861" s="7"/>
    </row>
    <row r="1862" spans="4:4" x14ac:dyDescent="0.2">
      <c r="D1862" s="7"/>
    </row>
    <row r="1863" spans="4:4" x14ac:dyDescent="0.2">
      <c r="D1863" s="7"/>
    </row>
    <row r="1864" spans="4:4" x14ac:dyDescent="0.2">
      <c r="D1864" s="7"/>
    </row>
    <row r="1865" spans="4:4" x14ac:dyDescent="0.2">
      <c r="D1865" s="7"/>
    </row>
    <row r="1866" spans="4:4" x14ac:dyDescent="0.2">
      <c r="D1866" s="7"/>
    </row>
    <row r="1867" spans="4:4" x14ac:dyDescent="0.2">
      <c r="D1867" s="7"/>
    </row>
    <row r="1868" spans="4:4" x14ac:dyDescent="0.2">
      <c r="D1868" s="7"/>
    </row>
    <row r="1869" spans="4:4" x14ac:dyDescent="0.2">
      <c r="D1869" s="7"/>
    </row>
    <row r="1870" spans="4:4" x14ac:dyDescent="0.2">
      <c r="D1870" s="7"/>
    </row>
    <row r="1871" spans="4:4" x14ac:dyDescent="0.2">
      <c r="D1871" s="7"/>
    </row>
    <row r="1872" spans="4:4" x14ac:dyDescent="0.2">
      <c r="D1872" s="7"/>
    </row>
    <row r="1873" spans="4:4" x14ac:dyDescent="0.2">
      <c r="D1873" s="7"/>
    </row>
    <row r="1874" spans="4:4" x14ac:dyDescent="0.2">
      <c r="D1874" s="7"/>
    </row>
    <row r="1875" spans="4:4" x14ac:dyDescent="0.2">
      <c r="D1875" s="7"/>
    </row>
    <row r="1876" spans="4:4" x14ac:dyDescent="0.2">
      <c r="D1876" s="7"/>
    </row>
    <row r="1877" spans="4:4" x14ac:dyDescent="0.2">
      <c r="D1877" s="7"/>
    </row>
    <row r="1878" spans="4:4" x14ac:dyDescent="0.2">
      <c r="D1878" s="7"/>
    </row>
    <row r="1879" spans="4:4" x14ac:dyDescent="0.2">
      <c r="D1879" s="7"/>
    </row>
    <row r="1880" spans="4:4" x14ac:dyDescent="0.2">
      <c r="D1880" s="7"/>
    </row>
    <row r="1881" spans="4:4" x14ac:dyDescent="0.2">
      <c r="D1881" s="7"/>
    </row>
    <row r="1882" spans="4:4" x14ac:dyDescent="0.2">
      <c r="D1882" s="7"/>
    </row>
    <row r="1883" spans="4:4" x14ac:dyDescent="0.2">
      <c r="D1883" s="7"/>
    </row>
    <row r="1884" spans="4:4" x14ac:dyDescent="0.2">
      <c r="D1884" s="7"/>
    </row>
    <row r="1885" spans="4:4" x14ac:dyDescent="0.2">
      <c r="D1885" s="7"/>
    </row>
    <row r="1886" spans="4:4" x14ac:dyDescent="0.2">
      <c r="D1886" s="7"/>
    </row>
    <row r="1887" spans="4:4" x14ac:dyDescent="0.2">
      <c r="D1887" s="7"/>
    </row>
    <row r="1888" spans="4:4" x14ac:dyDescent="0.2">
      <c r="D1888" s="7"/>
    </row>
    <row r="1889" spans="4:4" x14ac:dyDescent="0.2">
      <c r="D1889" s="7"/>
    </row>
    <row r="1890" spans="4:4" x14ac:dyDescent="0.2">
      <c r="D1890" s="7"/>
    </row>
    <row r="1891" spans="4:4" x14ac:dyDescent="0.2">
      <c r="D1891" s="7"/>
    </row>
    <row r="1892" spans="4:4" x14ac:dyDescent="0.2">
      <c r="D1892" s="7"/>
    </row>
    <row r="1893" spans="4:4" x14ac:dyDescent="0.2">
      <c r="D1893" s="7"/>
    </row>
    <row r="1894" spans="4:4" x14ac:dyDescent="0.2">
      <c r="D1894" s="7"/>
    </row>
    <row r="1895" spans="4:4" x14ac:dyDescent="0.2">
      <c r="D1895" s="7"/>
    </row>
    <row r="1896" spans="4:4" x14ac:dyDescent="0.2">
      <c r="D1896" s="7"/>
    </row>
    <row r="1897" spans="4:4" x14ac:dyDescent="0.2">
      <c r="D1897" s="7"/>
    </row>
    <row r="1898" spans="4:4" x14ac:dyDescent="0.2">
      <c r="D1898" s="7"/>
    </row>
    <row r="1899" spans="4:4" x14ac:dyDescent="0.2">
      <c r="D1899" s="7"/>
    </row>
    <row r="1900" spans="4:4" x14ac:dyDescent="0.2">
      <c r="D1900" s="7"/>
    </row>
    <row r="1901" spans="4:4" x14ac:dyDescent="0.2">
      <c r="D1901" s="7"/>
    </row>
    <row r="1902" spans="4:4" x14ac:dyDescent="0.2">
      <c r="D1902" s="7"/>
    </row>
    <row r="1903" spans="4:4" x14ac:dyDescent="0.2">
      <c r="D1903" s="7"/>
    </row>
    <row r="1904" spans="4:4" x14ac:dyDescent="0.2">
      <c r="D1904" s="7"/>
    </row>
    <row r="1905" spans="4:4" x14ac:dyDescent="0.2">
      <c r="D1905" s="7"/>
    </row>
    <row r="1906" spans="4:4" x14ac:dyDescent="0.2">
      <c r="D1906" s="7"/>
    </row>
    <row r="1907" spans="4:4" x14ac:dyDescent="0.2">
      <c r="D1907" s="7"/>
    </row>
    <row r="1908" spans="4:4" x14ac:dyDescent="0.2">
      <c r="D1908" s="7"/>
    </row>
    <row r="1909" spans="4:4" x14ac:dyDescent="0.2">
      <c r="D1909" s="7"/>
    </row>
    <row r="1910" spans="4:4" x14ac:dyDescent="0.2">
      <c r="D1910" s="7"/>
    </row>
    <row r="1911" spans="4:4" x14ac:dyDescent="0.2">
      <c r="D1911" s="7"/>
    </row>
    <row r="1912" spans="4:4" x14ac:dyDescent="0.2">
      <c r="D1912" s="7"/>
    </row>
    <row r="1913" spans="4:4" x14ac:dyDescent="0.2">
      <c r="D1913" s="7"/>
    </row>
    <row r="1914" spans="4:4" x14ac:dyDescent="0.2">
      <c r="D1914" s="7"/>
    </row>
    <row r="1915" spans="4:4" x14ac:dyDescent="0.2">
      <c r="D1915" s="7"/>
    </row>
    <row r="1916" spans="4:4" x14ac:dyDescent="0.2">
      <c r="D1916" s="7"/>
    </row>
    <row r="1917" spans="4:4" x14ac:dyDescent="0.2">
      <c r="D1917" s="7"/>
    </row>
    <row r="1918" spans="4:4" x14ac:dyDescent="0.2">
      <c r="D1918" s="7"/>
    </row>
    <row r="1919" spans="4:4" x14ac:dyDescent="0.2">
      <c r="D1919" s="7"/>
    </row>
    <row r="1920" spans="4:4" x14ac:dyDescent="0.2">
      <c r="D1920" s="7"/>
    </row>
    <row r="1921" spans="4:4" x14ac:dyDescent="0.2">
      <c r="D1921" s="7"/>
    </row>
    <row r="1922" spans="4:4" x14ac:dyDescent="0.2">
      <c r="D1922" s="7"/>
    </row>
    <row r="1923" spans="4:4" x14ac:dyDescent="0.2">
      <c r="D1923" s="7"/>
    </row>
    <row r="1924" spans="4:4" x14ac:dyDescent="0.2">
      <c r="D1924" s="7"/>
    </row>
    <row r="1925" spans="4:4" x14ac:dyDescent="0.2">
      <c r="D1925" s="7"/>
    </row>
    <row r="1926" spans="4:4" x14ac:dyDescent="0.2">
      <c r="D1926" s="7"/>
    </row>
    <row r="1927" spans="4:4" x14ac:dyDescent="0.2">
      <c r="D1927" s="7"/>
    </row>
    <row r="1928" spans="4:4" x14ac:dyDescent="0.2">
      <c r="D1928" s="7"/>
    </row>
    <row r="1929" spans="4:4" x14ac:dyDescent="0.2">
      <c r="D1929" s="7"/>
    </row>
    <row r="1930" spans="4:4" x14ac:dyDescent="0.2">
      <c r="D1930" s="7"/>
    </row>
    <row r="1931" spans="4:4" x14ac:dyDescent="0.2">
      <c r="D1931" s="7"/>
    </row>
    <row r="1932" spans="4:4" x14ac:dyDescent="0.2">
      <c r="D1932" s="7"/>
    </row>
    <row r="1933" spans="4:4" x14ac:dyDescent="0.2">
      <c r="D1933" s="7"/>
    </row>
    <row r="1934" spans="4:4" x14ac:dyDescent="0.2">
      <c r="D1934" s="7"/>
    </row>
    <row r="1935" spans="4:4" x14ac:dyDescent="0.2">
      <c r="D1935" s="7"/>
    </row>
    <row r="1936" spans="4:4" x14ac:dyDescent="0.2">
      <c r="D1936" s="7"/>
    </row>
    <row r="1937" spans="4:4" x14ac:dyDescent="0.2">
      <c r="D1937" s="7"/>
    </row>
    <row r="1938" spans="4:4" x14ac:dyDescent="0.2">
      <c r="D1938" s="7"/>
    </row>
    <row r="1939" spans="4:4" x14ac:dyDescent="0.2">
      <c r="D1939" s="7"/>
    </row>
    <row r="1940" spans="4:4" x14ac:dyDescent="0.2">
      <c r="D1940" s="7"/>
    </row>
    <row r="1941" spans="4:4" x14ac:dyDescent="0.2">
      <c r="D1941" s="7"/>
    </row>
    <row r="1942" spans="4:4" x14ac:dyDescent="0.2">
      <c r="D1942" s="7"/>
    </row>
    <row r="1943" spans="4:4" x14ac:dyDescent="0.2">
      <c r="D1943" s="7"/>
    </row>
    <row r="1944" spans="4:4" x14ac:dyDescent="0.2">
      <c r="D1944" s="7"/>
    </row>
    <row r="1945" spans="4:4" x14ac:dyDescent="0.2">
      <c r="D1945" s="7"/>
    </row>
    <row r="1946" spans="4:4" x14ac:dyDescent="0.2">
      <c r="D1946" s="7"/>
    </row>
    <row r="1947" spans="4:4" x14ac:dyDescent="0.2">
      <c r="D1947" s="7"/>
    </row>
    <row r="1948" spans="4:4" x14ac:dyDescent="0.2">
      <c r="D1948" s="7"/>
    </row>
    <row r="1949" spans="4:4" x14ac:dyDescent="0.2">
      <c r="D1949" s="7"/>
    </row>
    <row r="1950" spans="4:4" x14ac:dyDescent="0.2">
      <c r="D1950" s="7"/>
    </row>
    <row r="1951" spans="4:4" x14ac:dyDescent="0.2">
      <c r="D1951" s="7"/>
    </row>
    <row r="1952" spans="4:4" x14ac:dyDescent="0.2">
      <c r="D1952" s="7"/>
    </row>
    <row r="1953" spans="4:4" x14ac:dyDescent="0.2">
      <c r="D1953" s="7"/>
    </row>
    <row r="1954" spans="4:4" x14ac:dyDescent="0.2">
      <c r="D1954" s="7"/>
    </row>
    <row r="1955" spans="4:4" x14ac:dyDescent="0.2">
      <c r="D1955" s="7"/>
    </row>
    <row r="1956" spans="4:4" x14ac:dyDescent="0.2">
      <c r="D1956" s="7"/>
    </row>
    <row r="1957" spans="4:4" x14ac:dyDescent="0.2">
      <c r="D1957" s="7"/>
    </row>
    <row r="1958" spans="4:4" x14ac:dyDescent="0.2">
      <c r="D1958" s="7"/>
    </row>
    <row r="1959" spans="4:4" x14ac:dyDescent="0.2">
      <c r="D1959" s="7"/>
    </row>
    <row r="1960" spans="4:4" x14ac:dyDescent="0.2">
      <c r="D1960" s="7"/>
    </row>
    <row r="1961" spans="4:4" x14ac:dyDescent="0.2">
      <c r="D1961" s="7"/>
    </row>
    <row r="1962" spans="4:4" x14ac:dyDescent="0.2">
      <c r="D1962" s="7"/>
    </row>
    <row r="1963" spans="4:4" x14ac:dyDescent="0.2">
      <c r="D1963" s="7"/>
    </row>
    <row r="1964" spans="4:4" x14ac:dyDescent="0.2">
      <c r="D1964" s="7"/>
    </row>
    <row r="1965" spans="4:4" x14ac:dyDescent="0.2">
      <c r="D1965" s="7"/>
    </row>
    <row r="1966" spans="4:4" x14ac:dyDescent="0.2">
      <c r="D1966" s="7"/>
    </row>
    <row r="1967" spans="4:4" x14ac:dyDescent="0.2">
      <c r="D1967" s="7"/>
    </row>
    <row r="1968" spans="4:4" x14ac:dyDescent="0.2">
      <c r="D1968" s="7"/>
    </row>
    <row r="1969" spans="4:4" x14ac:dyDescent="0.2">
      <c r="D1969" s="7"/>
    </row>
    <row r="1970" spans="4:4" x14ac:dyDescent="0.2">
      <c r="D1970" s="7"/>
    </row>
    <row r="1971" spans="4:4" x14ac:dyDescent="0.2">
      <c r="D1971" s="7"/>
    </row>
    <row r="1972" spans="4:4" x14ac:dyDescent="0.2">
      <c r="D1972" s="7"/>
    </row>
    <row r="1973" spans="4:4" x14ac:dyDescent="0.2">
      <c r="D1973" s="7"/>
    </row>
    <row r="1974" spans="4:4" x14ac:dyDescent="0.2">
      <c r="D1974" s="7"/>
    </row>
    <row r="1975" spans="4:4" x14ac:dyDescent="0.2">
      <c r="D1975" s="7"/>
    </row>
    <row r="1976" spans="4:4" x14ac:dyDescent="0.2">
      <c r="D1976" s="7"/>
    </row>
    <row r="1977" spans="4:4" x14ac:dyDescent="0.2">
      <c r="D1977" s="7"/>
    </row>
    <row r="1978" spans="4:4" x14ac:dyDescent="0.2">
      <c r="D1978" s="7"/>
    </row>
    <row r="1979" spans="4:4" x14ac:dyDescent="0.2">
      <c r="D1979" s="7"/>
    </row>
    <row r="1980" spans="4:4" x14ac:dyDescent="0.2">
      <c r="D1980" s="7"/>
    </row>
    <row r="1981" spans="4:4" x14ac:dyDescent="0.2">
      <c r="D1981" s="7"/>
    </row>
    <row r="1982" spans="4:4" x14ac:dyDescent="0.2">
      <c r="D1982" s="7"/>
    </row>
    <row r="1983" spans="4:4" x14ac:dyDescent="0.2">
      <c r="D1983" s="7"/>
    </row>
    <row r="1984" spans="4:4" x14ac:dyDescent="0.2">
      <c r="D1984" s="7"/>
    </row>
    <row r="1985" spans="4:4" x14ac:dyDescent="0.2">
      <c r="D1985" s="7"/>
    </row>
    <row r="1986" spans="4:4" x14ac:dyDescent="0.2">
      <c r="D1986" s="7"/>
    </row>
    <row r="1987" spans="4:4" x14ac:dyDescent="0.2">
      <c r="D1987" s="7"/>
    </row>
    <row r="1988" spans="4:4" x14ac:dyDescent="0.2">
      <c r="D1988" s="7"/>
    </row>
    <row r="1989" spans="4:4" x14ac:dyDescent="0.2">
      <c r="D1989" s="7"/>
    </row>
    <row r="1990" spans="4:4" x14ac:dyDescent="0.2">
      <c r="D1990" s="7"/>
    </row>
    <row r="1991" spans="4:4" x14ac:dyDescent="0.2">
      <c r="D1991" s="7"/>
    </row>
    <row r="1992" spans="4:4" x14ac:dyDescent="0.2">
      <c r="D1992" s="7"/>
    </row>
    <row r="1993" spans="4:4" x14ac:dyDescent="0.2">
      <c r="D1993" s="7"/>
    </row>
    <row r="1994" spans="4:4" x14ac:dyDescent="0.2">
      <c r="D1994" s="7"/>
    </row>
    <row r="1995" spans="4:4" x14ac:dyDescent="0.2">
      <c r="D1995" s="7"/>
    </row>
    <row r="1996" spans="4:4" x14ac:dyDescent="0.2">
      <c r="D1996" s="7"/>
    </row>
    <row r="1997" spans="4:4" x14ac:dyDescent="0.2">
      <c r="D1997" s="7"/>
    </row>
    <row r="1998" spans="4:4" x14ac:dyDescent="0.2">
      <c r="D1998" s="7"/>
    </row>
    <row r="1999" spans="4:4" x14ac:dyDescent="0.2">
      <c r="D1999" s="7"/>
    </row>
    <row r="2000" spans="4:4" x14ac:dyDescent="0.2">
      <c r="D2000" s="7"/>
    </row>
    <row r="2001" spans="4:4" x14ac:dyDescent="0.2">
      <c r="D2001" s="7"/>
    </row>
    <row r="2002" spans="4:4" x14ac:dyDescent="0.2">
      <c r="D2002" s="7"/>
    </row>
    <row r="2003" spans="4:4" x14ac:dyDescent="0.2">
      <c r="D2003" s="7"/>
    </row>
    <row r="2004" spans="4:4" x14ac:dyDescent="0.2">
      <c r="D2004" s="7"/>
    </row>
    <row r="2005" spans="4:4" x14ac:dyDescent="0.2">
      <c r="D2005" s="7"/>
    </row>
    <row r="2006" spans="4:4" x14ac:dyDescent="0.2">
      <c r="D2006" s="7"/>
    </row>
    <row r="2007" spans="4:4" x14ac:dyDescent="0.2">
      <c r="D2007" s="7"/>
    </row>
    <row r="2008" spans="4:4" x14ac:dyDescent="0.2">
      <c r="D2008" s="7"/>
    </row>
    <row r="2009" spans="4:4" x14ac:dyDescent="0.2">
      <c r="D2009" s="7"/>
    </row>
    <row r="2010" spans="4:4" x14ac:dyDescent="0.2">
      <c r="D2010" s="7"/>
    </row>
    <row r="2011" spans="4:4" x14ac:dyDescent="0.2">
      <c r="D2011" s="7"/>
    </row>
    <row r="2012" spans="4:4" x14ac:dyDescent="0.2">
      <c r="D2012" s="7"/>
    </row>
    <row r="2013" spans="4:4" x14ac:dyDescent="0.2">
      <c r="D2013" s="7"/>
    </row>
    <row r="2014" spans="4:4" x14ac:dyDescent="0.2">
      <c r="D2014" s="7"/>
    </row>
    <row r="2015" spans="4:4" x14ac:dyDescent="0.2">
      <c r="D2015" s="7"/>
    </row>
    <row r="2016" spans="4:4" x14ac:dyDescent="0.2">
      <c r="D2016" s="7"/>
    </row>
    <row r="2017" spans="4:4" x14ac:dyDescent="0.2">
      <c r="D2017" s="7"/>
    </row>
    <row r="2018" spans="4:4" x14ac:dyDescent="0.2">
      <c r="D2018" s="7"/>
    </row>
    <row r="2019" spans="4:4" x14ac:dyDescent="0.2">
      <c r="D2019" s="7"/>
    </row>
    <row r="2020" spans="4:4" x14ac:dyDescent="0.2">
      <c r="D2020" s="7"/>
    </row>
    <row r="2021" spans="4:4" x14ac:dyDescent="0.2">
      <c r="D2021" s="7"/>
    </row>
    <row r="2022" spans="4:4" x14ac:dyDescent="0.2">
      <c r="D2022" s="7"/>
    </row>
    <row r="2023" spans="4:4" x14ac:dyDescent="0.2">
      <c r="D2023" s="7"/>
    </row>
    <row r="2024" spans="4:4" x14ac:dyDescent="0.2">
      <c r="D2024" s="7"/>
    </row>
    <row r="2025" spans="4:4" x14ac:dyDescent="0.2">
      <c r="D2025" s="7"/>
    </row>
    <row r="2026" spans="4:4" x14ac:dyDescent="0.2">
      <c r="D2026" s="7"/>
    </row>
    <row r="2027" spans="4:4" x14ac:dyDescent="0.2">
      <c r="D2027" s="7"/>
    </row>
    <row r="2028" spans="4:4" x14ac:dyDescent="0.2">
      <c r="D2028" s="7"/>
    </row>
    <row r="2029" spans="4:4" x14ac:dyDescent="0.2">
      <c r="D2029" s="7"/>
    </row>
    <row r="2030" spans="4:4" x14ac:dyDescent="0.2">
      <c r="D2030" s="7"/>
    </row>
    <row r="2031" spans="4:4" x14ac:dyDescent="0.2">
      <c r="D2031" s="7"/>
    </row>
    <row r="2032" spans="4:4" x14ac:dyDescent="0.2">
      <c r="D2032" s="7"/>
    </row>
    <row r="2033" spans="4:4" x14ac:dyDescent="0.2">
      <c r="D2033" s="7"/>
    </row>
    <row r="2034" spans="4:4" x14ac:dyDescent="0.2">
      <c r="D2034" s="7"/>
    </row>
    <row r="2035" spans="4:4" x14ac:dyDescent="0.2">
      <c r="D2035" s="7"/>
    </row>
    <row r="2036" spans="4:4" x14ac:dyDescent="0.2">
      <c r="D2036" s="7"/>
    </row>
    <row r="2037" spans="4:4" x14ac:dyDescent="0.2">
      <c r="D2037" s="7"/>
    </row>
    <row r="2038" spans="4:4" x14ac:dyDescent="0.2">
      <c r="D2038" s="7"/>
    </row>
    <row r="2039" spans="4:4" x14ac:dyDescent="0.2">
      <c r="D2039" s="7"/>
    </row>
    <row r="2040" spans="4:4" x14ac:dyDescent="0.2">
      <c r="D2040" s="7"/>
    </row>
    <row r="2041" spans="4:4" x14ac:dyDescent="0.2">
      <c r="D2041" s="7"/>
    </row>
    <row r="2042" spans="4:4" x14ac:dyDescent="0.2">
      <c r="D2042" s="7"/>
    </row>
    <row r="2043" spans="4:4" x14ac:dyDescent="0.2">
      <c r="D2043" s="7"/>
    </row>
    <row r="2044" spans="4:4" x14ac:dyDescent="0.2">
      <c r="D2044" s="7"/>
    </row>
    <row r="2045" spans="4:4" x14ac:dyDescent="0.2">
      <c r="D2045" s="7"/>
    </row>
    <row r="2046" spans="4:4" x14ac:dyDescent="0.2">
      <c r="D2046" s="7"/>
    </row>
    <row r="2047" spans="4:4" x14ac:dyDescent="0.2">
      <c r="D2047" s="7"/>
    </row>
    <row r="2048" spans="4:4" x14ac:dyDescent="0.2">
      <c r="D2048" s="7"/>
    </row>
    <row r="2049" spans="4:4" x14ac:dyDescent="0.2">
      <c r="D2049" s="7"/>
    </row>
    <row r="2050" spans="4:4" x14ac:dyDescent="0.2">
      <c r="D2050" s="7"/>
    </row>
    <row r="2051" spans="4:4" x14ac:dyDescent="0.2">
      <c r="D2051" s="7"/>
    </row>
    <row r="2052" spans="4:4" x14ac:dyDescent="0.2">
      <c r="D2052" s="7"/>
    </row>
    <row r="2053" spans="4:4" x14ac:dyDescent="0.2">
      <c r="D2053" s="7"/>
    </row>
    <row r="2054" spans="4:4" x14ac:dyDescent="0.2">
      <c r="D2054" s="7"/>
    </row>
    <row r="2055" spans="4:4" x14ac:dyDescent="0.2">
      <c r="D2055" s="7"/>
    </row>
    <row r="2056" spans="4:4" x14ac:dyDescent="0.2">
      <c r="D2056" s="7"/>
    </row>
    <row r="2057" spans="4:4" x14ac:dyDescent="0.2">
      <c r="D2057" s="7"/>
    </row>
    <row r="2058" spans="4:4" x14ac:dyDescent="0.2">
      <c r="D2058" s="7"/>
    </row>
    <row r="2059" spans="4:4" x14ac:dyDescent="0.2">
      <c r="D2059" s="7"/>
    </row>
    <row r="2060" spans="4:4" x14ac:dyDescent="0.2">
      <c r="D2060" s="7"/>
    </row>
    <row r="2061" spans="4:4" x14ac:dyDescent="0.2">
      <c r="D2061" s="7"/>
    </row>
    <row r="2062" spans="4:4" x14ac:dyDescent="0.2">
      <c r="D2062" s="7"/>
    </row>
    <row r="2063" spans="4:4" x14ac:dyDescent="0.2">
      <c r="D2063" s="7"/>
    </row>
    <row r="2064" spans="4:4" x14ac:dyDescent="0.2">
      <c r="D2064" s="7"/>
    </row>
    <row r="2065" spans="4:4" x14ac:dyDescent="0.2">
      <c r="D2065" s="7"/>
    </row>
    <row r="2066" spans="4:4" x14ac:dyDescent="0.2">
      <c r="D2066" s="7"/>
    </row>
    <row r="2067" spans="4:4" x14ac:dyDescent="0.2">
      <c r="D2067" s="7"/>
    </row>
    <row r="2068" spans="4:4" x14ac:dyDescent="0.2">
      <c r="D2068" s="7"/>
    </row>
    <row r="2069" spans="4:4" x14ac:dyDescent="0.2">
      <c r="D2069" s="7"/>
    </row>
    <row r="2070" spans="4:4" x14ac:dyDescent="0.2">
      <c r="D2070" s="7"/>
    </row>
    <row r="2071" spans="4:4" x14ac:dyDescent="0.2">
      <c r="D2071" s="7"/>
    </row>
    <row r="2072" spans="4:4" x14ac:dyDescent="0.2">
      <c r="D2072" s="7"/>
    </row>
    <row r="2073" spans="4:4" x14ac:dyDescent="0.2">
      <c r="D2073" s="7"/>
    </row>
    <row r="2074" spans="4:4" x14ac:dyDescent="0.2">
      <c r="D2074" s="7"/>
    </row>
    <row r="2075" spans="4:4" x14ac:dyDescent="0.2">
      <c r="D2075" s="7"/>
    </row>
    <row r="2076" spans="4:4" x14ac:dyDescent="0.2">
      <c r="D2076" s="7"/>
    </row>
    <row r="2077" spans="4:4" x14ac:dyDescent="0.2">
      <c r="D2077" s="7"/>
    </row>
    <row r="2078" spans="4:4" x14ac:dyDescent="0.2">
      <c r="D2078" s="7"/>
    </row>
    <row r="2079" spans="4:4" x14ac:dyDescent="0.2">
      <c r="D2079" s="7"/>
    </row>
    <row r="2080" spans="4:4" x14ac:dyDescent="0.2">
      <c r="D2080" s="7"/>
    </row>
    <row r="2081" spans="4:4" x14ac:dyDescent="0.2">
      <c r="D2081" s="7"/>
    </row>
    <row r="2082" spans="4:4" x14ac:dyDescent="0.2">
      <c r="D2082" s="7"/>
    </row>
    <row r="2083" spans="4:4" x14ac:dyDescent="0.2">
      <c r="D2083" s="7"/>
    </row>
    <row r="2084" spans="4:4" x14ac:dyDescent="0.2">
      <c r="D2084" s="7"/>
    </row>
    <row r="2085" spans="4:4" x14ac:dyDescent="0.2">
      <c r="D2085" s="7"/>
    </row>
    <row r="2086" spans="4:4" x14ac:dyDescent="0.2">
      <c r="D2086" s="7"/>
    </row>
    <row r="2087" spans="4:4" x14ac:dyDescent="0.2">
      <c r="D2087" s="7"/>
    </row>
    <row r="2088" spans="4:4" x14ac:dyDescent="0.2">
      <c r="D2088" s="7"/>
    </row>
    <row r="2089" spans="4:4" x14ac:dyDescent="0.2">
      <c r="D2089" s="7"/>
    </row>
    <row r="2090" spans="4:4" x14ac:dyDescent="0.2">
      <c r="D2090" s="7"/>
    </row>
    <row r="2091" spans="4:4" x14ac:dyDescent="0.2">
      <c r="D2091" s="7"/>
    </row>
    <row r="2092" spans="4:4" x14ac:dyDescent="0.2">
      <c r="D2092" s="7"/>
    </row>
    <row r="2093" spans="4:4" x14ac:dyDescent="0.2">
      <c r="D2093" s="7"/>
    </row>
    <row r="2094" spans="4:4" x14ac:dyDescent="0.2">
      <c r="D2094" s="7"/>
    </row>
    <row r="2095" spans="4:4" x14ac:dyDescent="0.2">
      <c r="D2095" s="7"/>
    </row>
    <row r="2096" spans="4:4" x14ac:dyDescent="0.2">
      <c r="D2096" s="7"/>
    </row>
    <row r="2097" spans="4:4" x14ac:dyDescent="0.2">
      <c r="D2097" s="7"/>
    </row>
    <row r="2098" spans="4:4" x14ac:dyDescent="0.2">
      <c r="D2098" s="7"/>
    </row>
    <row r="2099" spans="4:4" x14ac:dyDescent="0.2">
      <c r="D2099" s="7"/>
    </row>
    <row r="2100" spans="4:4" x14ac:dyDescent="0.2">
      <c r="D2100" s="7"/>
    </row>
    <row r="2101" spans="4:4" x14ac:dyDescent="0.2">
      <c r="D2101" s="7"/>
    </row>
    <row r="2102" spans="4:4" x14ac:dyDescent="0.2">
      <c r="D2102" s="7"/>
    </row>
    <row r="2103" spans="4:4" x14ac:dyDescent="0.2">
      <c r="D2103" s="7"/>
    </row>
    <row r="2104" spans="4:4" x14ac:dyDescent="0.2">
      <c r="D2104" s="7"/>
    </row>
    <row r="2105" spans="4:4" x14ac:dyDescent="0.2">
      <c r="D2105" s="7"/>
    </row>
    <row r="2106" spans="4:4" x14ac:dyDescent="0.2">
      <c r="D2106" s="7"/>
    </row>
    <row r="2107" spans="4:4" x14ac:dyDescent="0.2">
      <c r="D2107" s="7"/>
    </row>
    <row r="2108" spans="4:4" x14ac:dyDescent="0.2">
      <c r="D2108" s="7"/>
    </row>
    <row r="2109" spans="4:4" x14ac:dyDescent="0.2">
      <c r="D2109" s="7"/>
    </row>
    <row r="2110" spans="4:4" x14ac:dyDescent="0.2">
      <c r="D2110" s="7"/>
    </row>
    <row r="2111" spans="4:4" x14ac:dyDescent="0.2">
      <c r="D2111" s="7"/>
    </row>
    <row r="2112" spans="4:4" x14ac:dyDescent="0.2">
      <c r="D2112" s="7"/>
    </row>
    <row r="2113" spans="4:4" x14ac:dyDescent="0.2">
      <c r="D2113" s="7"/>
    </row>
    <row r="2114" spans="4:4" x14ac:dyDescent="0.2">
      <c r="D2114" s="7"/>
    </row>
    <row r="2115" spans="4:4" x14ac:dyDescent="0.2">
      <c r="D2115" s="7"/>
    </row>
    <row r="2116" spans="4:4" x14ac:dyDescent="0.2">
      <c r="D2116" s="7"/>
    </row>
    <row r="2117" spans="4:4" x14ac:dyDescent="0.2">
      <c r="D2117" s="7"/>
    </row>
    <row r="2118" spans="4:4" x14ac:dyDescent="0.2">
      <c r="D2118" s="7"/>
    </row>
    <row r="2119" spans="4:4" x14ac:dyDescent="0.2">
      <c r="D2119" s="7"/>
    </row>
    <row r="2120" spans="4:4" x14ac:dyDescent="0.2">
      <c r="D2120" s="7"/>
    </row>
    <row r="2121" spans="4:4" x14ac:dyDescent="0.2">
      <c r="D2121" s="7"/>
    </row>
    <row r="2122" spans="4:4" x14ac:dyDescent="0.2">
      <c r="D2122" s="7"/>
    </row>
    <row r="2123" spans="4:4" x14ac:dyDescent="0.2">
      <c r="D2123" s="7"/>
    </row>
    <row r="2124" spans="4:4" x14ac:dyDescent="0.2">
      <c r="D2124" s="7"/>
    </row>
    <row r="2125" spans="4:4" x14ac:dyDescent="0.2">
      <c r="D2125" s="7"/>
    </row>
    <row r="2126" spans="4:4" x14ac:dyDescent="0.2">
      <c r="D2126" s="7"/>
    </row>
    <row r="2127" spans="4:4" x14ac:dyDescent="0.2">
      <c r="D2127" s="7"/>
    </row>
    <row r="2128" spans="4:4" x14ac:dyDescent="0.2">
      <c r="D2128" s="7"/>
    </row>
    <row r="2129" spans="4:4" x14ac:dyDescent="0.2">
      <c r="D2129" s="7"/>
    </row>
    <row r="2130" spans="4:4" x14ac:dyDescent="0.2">
      <c r="D2130" s="7"/>
    </row>
    <row r="2131" spans="4:4" x14ac:dyDescent="0.2">
      <c r="D2131" s="7"/>
    </row>
    <row r="2132" spans="4:4" x14ac:dyDescent="0.2">
      <c r="D2132" s="7"/>
    </row>
    <row r="2133" spans="4:4" x14ac:dyDescent="0.2">
      <c r="D2133" s="7"/>
    </row>
    <row r="2134" spans="4:4" x14ac:dyDescent="0.2">
      <c r="D2134" s="7"/>
    </row>
    <row r="2135" spans="4:4" x14ac:dyDescent="0.2">
      <c r="D2135" s="7"/>
    </row>
    <row r="2136" spans="4:4" x14ac:dyDescent="0.2">
      <c r="D2136" s="7"/>
    </row>
    <row r="2137" spans="4:4" x14ac:dyDescent="0.2">
      <c r="D2137" s="7"/>
    </row>
    <row r="2138" spans="4:4" x14ac:dyDescent="0.2">
      <c r="D2138" s="7"/>
    </row>
    <row r="2139" spans="4:4" x14ac:dyDescent="0.2">
      <c r="D2139" s="7"/>
    </row>
    <row r="2140" spans="4:4" x14ac:dyDescent="0.2">
      <c r="D2140" s="7"/>
    </row>
    <row r="2141" spans="4:4" x14ac:dyDescent="0.2">
      <c r="D2141" s="7"/>
    </row>
    <row r="2142" spans="4:4" x14ac:dyDescent="0.2">
      <c r="D2142" s="7"/>
    </row>
    <row r="2143" spans="4:4" x14ac:dyDescent="0.2">
      <c r="D2143" s="7"/>
    </row>
    <row r="2144" spans="4:4" x14ac:dyDescent="0.2">
      <c r="D2144" s="7"/>
    </row>
    <row r="2145" spans="4:4" x14ac:dyDescent="0.2">
      <c r="D2145" s="7"/>
    </row>
    <row r="2146" spans="4:4" x14ac:dyDescent="0.2">
      <c r="D2146" s="7"/>
    </row>
    <row r="2147" spans="4:4" x14ac:dyDescent="0.2">
      <c r="D2147" s="7"/>
    </row>
    <row r="2148" spans="4:4" x14ac:dyDescent="0.2">
      <c r="D2148" s="7"/>
    </row>
    <row r="2149" spans="4:4" x14ac:dyDescent="0.2">
      <c r="D2149" s="7"/>
    </row>
    <row r="2150" spans="4:4" x14ac:dyDescent="0.2">
      <c r="D2150" s="7"/>
    </row>
    <row r="2151" spans="4:4" x14ac:dyDescent="0.2">
      <c r="D2151" s="7"/>
    </row>
    <row r="2152" spans="4:4" x14ac:dyDescent="0.2">
      <c r="D2152" s="7"/>
    </row>
    <row r="2153" spans="4:4" x14ac:dyDescent="0.2">
      <c r="D2153" s="7"/>
    </row>
    <row r="2154" spans="4:4" x14ac:dyDescent="0.2">
      <c r="D2154" s="7"/>
    </row>
    <row r="2155" spans="4:4" x14ac:dyDescent="0.2">
      <c r="D2155" s="7"/>
    </row>
    <row r="2156" spans="4:4" x14ac:dyDescent="0.2">
      <c r="D2156" s="7"/>
    </row>
    <row r="2157" spans="4:4" x14ac:dyDescent="0.2">
      <c r="D2157" s="7"/>
    </row>
    <row r="2158" spans="4:4" x14ac:dyDescent="0.2">
      <c r="D2158" s="7"/>
    </row>
    <row r="2159" spans="4:4" x14ac:dyDescent="0.2">
      <c r="D2159" s="7"/>
    </row>
    <row r="2160" spans="4:4" x14ac:dyDescent="0.2">
      <c r="D2160" s="7"/>
    </row>
    <row r="2161" spans="4:4" x14ac:dyDescent="0.2">
      <c r="D2161" s="7"/>
    </row>
    <row r="2162" spans="4:4" x14ac:dyDescent="0.2">
      <c r="D2162" s="7"/>
    </row>
    <row r="2163" spans="4:4" x14ac:dyDescent="0.2">
      <c r="D2163" s="7"/>
    </row>
    <row r="2164" spans="4:4" x14ac:dyDescent="0.2">
      <c r="D2164" s="7"/>
    </row>
    <row r="2165" spans="4:4" x14ac:dyDescent="0.2">
      <c r="D2165" s="7"/>
    </row>
    <row r="2166" spans="4:4" x14ac:dyDescent="0.2">
      <c r="D2166" s="7"/>
    </row>
    <row r="2167" spans="4:4" x14ac:dyDescent="0.2">
      <c r="D2167" s="7"/>
    </row>
    <row r="2168" spans="4:4" x14ac:dyDescent="0.2">
      <c r="D2168" s="7"/>
    </row>
    <row r="2169" spans="4:4" x14ac:dyDescent="0.2">
      <c r="D2169" s="7"/>
    </row>
    <row r="2170" spans="4:4" x14ac:dyDescent="0.2">
      <c r="D2170" s="7"/>
    </row>
    <row r="2171" spans="4:4" x14ac:dyDescent="0.2">
      <c r="D2171" s="7"/>
    </row>
    <row r="2172" spans="4:4" x14ac:dyDescent="0.2">
      <c r="D2172" s="7"/>
    </row>
    <row r="2173" spans="4:4" x14ac:dyDescent="0.2">
      <c r="D2173" s="7"/>
    </row>
    <row r="2174" spans="4:4" x14ac:dyDescent="0.2">
      <c r="D2174" s="7"/>
    </row>
    <row r="2175" spans="4:4" x14ac:dyDescent="0.2">
      <c r="D2175" s="7"/>
    </row>
    <row r="2176" spans="4:4" x14ac:dyDescent="0.2">
      <c r="D2176" s="7"/>
    </row>
    <row r="2177" spans="4:4" x14ac:dyDescent="0.2">
      <c r="D2177" s="7"/>
    </row>
    <row r="2178" spans="4:4" x14ac:dyDescent="0.2">
      <c r="D2178" s="7"/>
    </row>
    <row r="2179" spans="4:4" x14ac:dyDescent="0.2">
      <c r="D2179" s="7"/>
    </row>
    <row r="2180" spans="4:4" x14ac:dyDescent="0.2">
      <c r="D2180" s="7"/>
    </row>
    <row r="2181" spans="4:4" x14ac:dyDescent="0.2">
      <c r="D2181" s="7"/>
    </row>
    <row r="2182" spans="4:4" x14ac:dyDescent="0.2">
      <c r="D2182" s="7"/>
    </row>
    <row r="2183" spans="4:4" x14ac:dyDescent="0.2">
      <c r="D2183" s="7"/>
    </row>
    <row r="2184" spans="4:4" x14ac:dyDescent="0.2">
      <c r="D2184" s="7"/>
    </row>
    <row r="2185" spans="4:4" x14ac:dyDescent="0.2">
      <c r="D2185" s="7"/>
    </row>
    <row r="2186" spans="4:4" x14ac:dyDescent="0.2">
      <c r="D2186" s="7"/>
    </row>
    <row r="2187" spans="4:4" x14ac:dyDescent="0.2">
      <c r="D2187" s="7"/>
    </row>
    <row r="2188" spans="4:4" x14ac:dyDescent="0.2">
      <c r="D2188" s="7"/>
    </row>
    <row r="2189" spans="4:4" x14ac:dyDescent="0.2">
      <c r="D2189" s="7"/>
    </row>
    <row r="2190" spans="4:4" x14ac:dyDescent="0.2">
      <c r="D2190" s="7"/>
    </row>
    <row r="2191" spans="4:4" x14ac:dyDescent="0.2">
      <c r="D2191" s="7"/>
    </row>
    <row r="2192" spans="4:4" x14ac:dyDescent="0.2">
      <c r="D2192" s="7"/>
    </row>
    <row r="2193" spans="4:4" x14ac:dyDescent="0.2">
      <c r="D2193" s="7"/>
    </row>
    <row r="2194" spans="4:4" x14ac:dyDescent="0.2">
      <c r="D2194" s="7"/>
    </row>
    <row r="2195" spans="4:4" x14ac:dyDescent="0.2">
      <c r="D2195" s="7"/>
    </row>
    <row r="2196" spans="4:4" x14ac:dyDescent="0.2">
      <c r="D2196" s="7"/>
    </row>
    <row r="2197" spans="4:4" x14ac:dyDescent="0.2">
      <c r="D2197" s="7"/>
    </row>
    <row r="2198" spans="4:4" x14ac:dyDescent="0.2">
      <c r="D2198" s="7"/>
    </row>
    <row r="2199" spans="4:4" x14ac:dyDescent="0.2">
      <c r="D2199" s="7"/>
    </row>
    <row r="2200" spans="4:4" x14ac:dyDescent="0.2">
      <c r="D2200" s="7"/>
    </row>
    <row r="2201" spans="4:4" x14ac:dyDescent="0.2">
      <c r="D2201" s="7"/>
    </row>
    <row r="2202" spans="4:4" x14ac:dyDescent="0.2">
      <c r="D2202" s="7"/>
    </row>
    <row r="2203" spans="4:4" x14ac:dyDescent="0.2">
      <c r="D2203" s="7"/>
    </row>
    <row r="2204" spans="4:4" x14ac:dyDescent="0.2">
      <c r="D2204" s="7"/>
    </row>
    <row r="2205" spans="4:4" x14ac:dyDescent="0.2">
      <c r="D2205" s="7"/>
    </row>
    <row r="2206" spans="4:4" x14ac:dyDescent="0.2">
      <c r="D2206" s="7"/>
    </row>
    <row r="2207" spans="4:4" x14ac:dyDescent="0.2">
      <c r="D2207" s="7"/>
    </row>
    <row r="2208" spans="4:4" x14ac:dyDescent="0.2">
      <c r="D2208" s="7"/>
    </row>
    <row r="2209" spans="4:4" x14ac:dyDescent="0.2">
      <c r="D2209" s="7"/>
    </row>
    <row r="2210" spans="4:4" x14ac:dyDescent="0.2">
      <c r="D2210" s="7"/>
    </row>
    <row r="2211" spans="4:4" x14ac:dyDescent="0.2">
      <c r="D2211" s="7"/>
    </row>
    <row r="2212" spans="4:4" x14ac:dyDescent="0.2">
      <c r="D2212" s="7"/>
    </row>
    <row r="2213" spans="4:4" x14ac:dyDescent="0.2">
      <c r="D2213" s="7"/>
    </row>
    <row r="2214" spans="4:4" x14ac:dyDescent="0.2">
      <c r="D2214" s="7"/>
    </row>
    <row r="2215" spans="4:4" x14ac:dyDescent="0.2">
      <c r="D2215" s="7"/>
    </row>
    <row r="2216" spans="4:4" x14ac:dyDescent="0.2">
      <c r="D2216" s="7"/>
    </row>
    <row r="2217" spans="4:4" x14ac:dyDescent="0.2">
      <c r="D2217" s="7"/>
    </row>
    <row r="2218" spans="4:4" x14ac:dyDescent="0.2">
      <c r="D2218" s="7"/>
    </row>
    <row r="2219" spans="4:4" x14ac:dyDescent="0.2">
      <c r="D2219" s="7"/>
    </row>
    <row r="2220" spans="4:4" x14ac:dyDescent="0.2">
      <c r="D2220" s="7"/>
    </row>
    <row r="2221" spans="4:4" x14ac:dyDescent="0.2">
      <c r="D2221" s="7"/>
    </row>
    <row r="2222" spans="4:4" x14ac:dyDescent="0.2">
      <c r="D2222" s="7"/>
    </row>
    <row r="2223" spans="4:4" x14ac:dyDescent="0.2">
      <c r="D2223" s="7"/>
    </row>
    <row r="2224" spans="4:4" x14ac:dyDescent="0.2">
      <c r="D2224" s="7"/>
    </row>
    <row r="2225" spans="4:4" x14ac:dyDescent="0.2">
      <c r="D2225" s="7"/>
    </row>
    <row r="2226" spans="4:4" x14ac:dyDescent="0.2">
      <c r="D2226" s="7"/>
    </row>
    <row r="2227" spans="4:4" x14ac:dyDescent="0.2">
      <c r="D2227" s="7"/>
    </row>
    <row r="2228" spans="4:4" x14ac:dyDescent="0.2">
      <c r="D2228" s="7"/>
    </row>
    <row r="2229" spans="4:4" x14ac:dyDescent="0.2">
      <c r="D2229" s="7"/>
    </row>
    <row r="2230" spans="4:4" x14ac:dyDescent="0.2">
      <c r="D2230" s="7"/>
    </row>
    <row r="2231" spans="4:4" x14ac:dyDescent="0.2">
      <c r="D2231" s="7"/>
    </row>
    <row r="2232" spans="4:4" x14ac:dyDescent="0.2">
      <c r="D2232" s="7"/>
    </row>
    <row r="2233" spans="4:4" x14ac:dyDescent="0.2">
      <c r="D2233" s="7"/>
    </row>
    <row r="2234" spans="4:4" x14ac:dyDescent="0.2">
      <c r="D2234" s="7"/>
    </row>
    <row r="2235" spans="4:4" x14ac:dyDescent="0.2">
      <c r="D2235" s="7"/>
    </row>
    <row r="2236" spans="4:4" x14ac:dyDescent="0.2">
      <c r="D2236" s="7"/>
    </row>
    <row r="2237" spans="4:4" x14ac:dyDescent="0.2">
      <c r="D2237" s="7"/>
    </row>
    <row r="2238" spans="4:4" x14ac:dyDescent="0.2">
      <c r="D2238" s="7"/>
    </row>
    <row r="2239" spans="4:4" x14ac:dyDescent="0.2">
      <c r="D2239" s="7"/>
    </row>
    <row r="2240" spans="4:4" x14ac:dyDescent="0.2">
      <c r="D2240" s="7"/>
    </row>
    <row r="2241" spans="4:4" x14ac:dyDescent="0.2">
      <c r="D2241" s="7"/>
    </row>
    <row r="2242" spans="4:4" x14ac:dyDescent="0.2">
      <c r="D2242" s="7"/>
    </row>
    <row r="2243" spans="4:4" x14ac:dyDescent="0.2">
      <c r="D2243" s="7"/>
    </row>
    <row r="2244" spans="4:4" x14ac:dyDescent="0.2">
      <c r="D2244" s="7"/>
    </row>
    <row r="2245" spans="4:4" x14ac:dyDescent="0.2">
      <c r="D2245" s="7"/>
    </row>
    <row r="2246" spans="4:4" x14ac:dyDescent="0.2">
      <c r="D2246" s="7"/>
    </row>
    <row r="2247" spans="4:4" x14ac:dyDescent="0.2">
      <c r="D2247" s="7"/>
    </row>
    <row r="2248" spans="4:4" x14ac:dyDescent="0.2">
      <c r="D2248" s="7"/>
    </row>
    <row r="2249" spans="4:4" x14ac:dyDescent="0.2">
      <c r="D2249" s="7"/>
    </row>
    <row r="2250" spans="4:4" x14ac:dyDescent="0.2">
      <c r="D2250" s="7"/>
    </row>
    <row r="2251" spans="4:4" x14ac:dyDescent="0.2">
      <c r="D2251" s="7"/>
    </row>
    <row r="2252" spans="4:4" x14ac:dyDescent="0.2">
      <c r="D2252" s="7"/>
    </row>
    <row r="2253" spans="4:4" x14ac:dyDescent="0.2">
      <c r="D2253" s="7"/>
    </row>
    <row r="2254" spans="4:4" x14ac:dyDescent="0.2">
      <c r="D2254" s="7"/>
    </row>
    <row r="2255" spans="4:4" x14ac:dyDescent="0.2">
      <c r="D2255" s="7"/>
    </row>
    <row r="2256" spans="4:4" x14ac:dyDescent="0.2">
      <c r="D2256" s="7"/>
    </row>
    <row r="2257" spans="4:4" x14ac:dyDescent="0.2">
      <c r="D2257" s="7"/>
    </row>
    <row r="2258" spans="4:4" x14ac:dyDescent="0.2">
      <c r="D2258" s="7"/>
    </row>
    <row r="2259" spans="4:4" x14ac:dyDescent="0.2">
      <c r="D2259" s="7"/>
    </row>
    <row r="2260" spans="4:4" x14ac:dyDescent="0.2">
      <c r="D2260" s="7"/>
    </row>
    <row r="2261" spans="4:4" x14ac:dyDescent="0.2">
      <c r="D2261" s="7"/>
    </row>
    <row r="2262" spans="4:4" x14ac:dyDescent="0.2">
      <c r="D2262" s="7"/>
    </row>
    <row r="2263" spans="4:4" x14ac:dyDescent="0.2">
      <c r="D2263" s="7"/>
    </row>
    <row r="2264" spans="4:4" x14ac:dyDescent="0.2">
      <c r="D2264" s="7"/>
    </row>
    <row r="2265" spans="4:4" x14ac:dyDescent="0.2">
      <c r="D2265" s="7"/>
    </row>
    <row r="2266" spans="4:4" x14ac:dyDescent="0.2">
      <c r="D2266" s="7"/>
    </row>
    <row r="2267" spans="4:4" x14ac:dyDescent="0.2">
      <c r="D2267" s="7"/>
    </row>
    <row r="2268" spans="4:4" x14ac:dyDescent="0.2">
      <c r="D2268" s="7"/>
    </row>
    <row r="2269" spans="4:4" x14ac:dyDescent="0.2">
      <c r="D2269" s="7"/>
    </row>
    <row r="2270" spans="4:4" x14ac:dyDescent="0.2">
      <c r="D2270" s="7"/>
    </row>
    <row r="2271" spans="4:4" x14ac:dyDescent="0.2">
      <c r="D2271" s="7"/>
    </row>
    <row r="2272" spans="4:4" x14ac:dyDescent="0.2">
      <c r="D2272" s="7"/>
    </row>
    <row r="2273" spans="4:4" x14ac:dyDescent="0.2">
      <c r="D2273" s="7"/>
    </row>
    <row r="2274" spans="4:4" x14ac:dyDescent="0.2">
      <c r="D2274" s="7"/>
    </row>
    <row r="2275" spans="4:4" x14ac:dyDescent="0.2">
      <c r="D2275" s="7"/>
    </row>
    <row r="2276" spans="4:4" x14ac:dyDescent="0.2">
      <c r="D2276" s="7"/>
    </row>
    <row r="2277" spans="4:4" x14ac:dyDescent="0.2">
      <c r="D2277" s="7"/>
    </row>
    <row r="2278" spans="4:4" x14ac:dyDescent="0.2">
      <c r="D2278" s="7"/>
    </row>
    <row r="2279" spans="4:4" x14ac:dyDescent="0.2">
      <c r="D2279" s="7"/>
    </row>
    <row r="2280" spans="4:4" x14ac:dyDescent="0.2">
      <c r="D2280" s="7"/>
    </row>
    <row r="2281" spans="4:4" x14ac:dyDescent="0.2">
      <c r="D2281" s="7"/>
    </row>
    <row r="2282" spans="4:4" x14ac:dyDescent="0.2">
      <c r="D2282" s="7"/>
    </row>
    <row r="2283" spans="4:4" x14ac:dyDescent="0.2">
      <c r="D2283" s="7"/>
    </row>
    <row r="2284" spans="4:4" x14ac:dyDescent="0.2">
      <c r="D2284" s="7"/>
    </row>
    <row r="2285" spans="4:4" x14ac:dyDescent="0.2">
      <c r="D2285" s="7"/>
    </row>
    <row r="2286" spans="4:4" x14ac:dyDescent="0.2">
      <c r="D2286" s="7"/>
    </row>
    <row r="2287" spans="4:4" x14ac:dyDescent="0.2">
      <c r="D2287" s="7"/>
    </row>
    <row r="2288" spans="4:4" x14ac:dyDescent="0.2">
      <c r="D2288" s="7"/>
    </row>
    <row r="2289" spans="4:4" x14ac:dyDescent="0.2">
      <c r="D2289" s="7"/>
    </row>
    <row r="2290" spans="4:4" x14ac:dyDescent="0.2">
      <c r="D2290" s="7"/>
    </row>
    <row r="2291" spans="4:4" x14ac:dyDescent="0.2">
      <c r="D2291" s="7"/>
    </row>
    <row r="2292" spans="4:4" x14ac:dyDescent="0.2">
      <c r="D2292" s="7"/>
    </row>
    <row r="2293" spans="4:4" x14ac:dyDescent="0.2">
      <c r="D2293" s="7"/>
    </row>
    <row r="2294" spans="4:4" x14ac:dyDescent="0.2">
      <c r="D2294" s="7"/>
    </row>
    <row r="2295" spans="4:4" x14ac:dyDescent="0.2">
      <c r="D2295" s="7"/>
    </row>
    <row r="2296" spans="4:4" x14ac:dyDescent="0.2">
      <c r="D2296" s="7"/>
    </row>
    <row r="2297" spans="4:4" x14ac:dyDescent="0.2">
      <c r="D2297" s="7"/>
    </row>
    <row r="2298" spans="4:4" x14ac:dyDescent="0.2">
      <c r="D2298" s="7"/>
    </row>
    <row r="2299" spans="4:4" x14ac:dyDescent="0.2">
      <c r="D2299" s="7"/>
    </row>
    <row r="2300" spans="4:4" x14ac:dyDescent="0.2">
      <c r="D2300" s="7"/>
    </row>
    <row r="2301" spans="4:4" x14ac:dyDescent="0.2">
      <c r="D2301" s="7"/>
    </row>
    <row r="2302" spans="4:4" x14ac:dyDescent="0.2">
      <c r="D2302" s="7"/>
    </row>
    <row r="2303" spans="4:4" x14ac:dyDescent="0.2">
      <c r="D2303" s="7"/>
    </row>
    <row r="2304" spans="4:4" x14ac:dyDescent="0.2">
      <c r="D2304" s="7"/>
    </row>
    <row r="2305" spans="4:4" x14ac:dyDescent="0.2">
      <c r="D2305" s="7"/>
    </row>
    <row r="2306" spans="4:4" x14ac:dyDescent="0.2">
      <c r="D2306" s="7"/>
    </row>
    <row r="2307" spans="4:4" x14ac:dyDescent="0.2">
      <c r="D2307" s="7"/>
    </row>
    <row r="2308" spans="4:4" x14ac:dyDescent="0.2">
      <c r="D2308" s="7"/>
    </row>
    <row r="2309" spans="4:4" x14ac:dyDescent="0.2">
      <c r="D2309" s="7"/>
    </row>
    <row r="2310" spans="4:4" x14ac:dyDescent="0.2">
      <c r="D2310" s="7"/>
    </row>
    <row r="2311" spans="4:4" x14ac:dyDescent="0.2">
      <c r="D2311" s="7"/>
    </row>
    <row r="2312" spans="4:4" x14ac:dyDescent="0.2">
      <c r="D2312" s="7"/>
    </row>
    <row r="2313" spans="4:4" x14ac:dyDescent="0.2">
      <c r="D2313" s="7"/>
    </row>
    <row r="2314" spans="4:4" x14ac:dyDescent="0.2">
      <c r="D2314" s="7"/>
    </row>
    <row r="2315" spans="4:4" x14ac:dyDescent="0.2">
      <c r="D2315" s="7"/>
    </row>
    <row r="2316" spans="4:4" x14ac:dyDescent="0.2">
      <c r="D2316" s="7"/>
    </row>
    <row r="2317" spans="4:4" x14ac:dyDescent="0.2">
      <c r="D2317" s="7"/>
    </row>
    <row r="2318" spans="4:4" x14ac:dyDescent="0.2">
      <c r="D2318" s="7"/>
    </row>
    <row r="2319" spans="4:4" x14ac:dyDescent="0.2">
      <c r="D2319" s="7"/>
    </row>
    <row r="2320" spans="4:4" x14ac:dyDescent="0.2">
      <c r="D2320" s="7"/>
    </row>
    <row r="2321" spans="4:4" x14ac:dyDescent="0.2">
      <c r="D2321" s="7"/>
    </row>
    <row r="2322" spans="4:4" x14ac:dyDescent="0.2">
      <c r="D2322" s="7"/>
    </row>
    <row r="2323" spans="4:4" x14ac:dyDescent="0.2">
      <c r="D2323" s="7"/>
    </row>
    <row r="2324" spans="4:4" x14ac:dyDescent="0.2">
      <c r="D2324" s="7"/>
    </row>
    <row r="2325" spans="4:4" x14ac:dyDescent="0.2">
      <c r="D2325" s="7"/>
    </row>
    <row r="2326" spans="4:4" x14ac:dyDescent="0.2">
      <c r="D2326" s="7"/>
    </row>
    <row r="2327" spans="4:4" x14ac:dyDescent="0.2">
      <c r="D2327" s="7"/>
    </row>
    <row r="2328" spans="4:4" x14ac:dyDescent="0.2">
      <c r="D2328" s="7"/>
    </row>
    <row r="2329" spans="4:4" x14ac:dyDescent="0.2">
      <c r="D2329" s="7"/>
    </row>
    <row r="2330" spans="4:4" x14ac:dyDescent="0.2">
      <c r="D2330" s="7"/>
    </row>
    <row r="2331" spans="4:4" x14ac:dyDescent="0.2">
      <c r="D2331" s="7"/>
    </row>
    <row r="2332" spans="4:4" x14ac:dyDescent="0.2">
      <c r="D2332" s="7"/>
    </row>
    <row r="2333" spans="4:4" x14ac:dyDescent="0.2">
      <c r="D2333" s="7"/>
    </row>
    <row r="2334" spans="4:4" x14ac:dyDescent="0.2">
      <c r="D2334" s="7"/>
    </row>
    <row r="2335" spans="4:4" x14ac:dyDescent="0.2">
      <c r="D2335" s="7"/>
    </row>
    <row r="2336" spans="4:4" x14ac:dyDescent="0.2">
      <c r="D2336" s="7"/>
    </row>
    <row r="2337" spans="4:4" x14ac:dyDescent="0.2">
      <c r="D2337" s="7"/>
    </row>
    <row r="2338" spans="4:4" x14ac:dyDescent="0.2">
      <c r="D2338" s="7"/>
    </row>
    <row r="2339" spans="4:4" x14ac:dyDescent="0.2">
      <c r="D2339" s="7"/>
    </row>
    <row r="2340" spans="4:4" x14ac:dyDescent="0.2">
      <c r="D2340" s="7"/>
    </row>
    <row r="2341" spans="4:4" x14ac:dyDescent="0.2">
      <c r="D2341" s="7"/>
    </row>
    <row r="2342" spans="4:4" x14ac:dyDescent="0.2">
      <c r="D2342" s="7"/>
    </row>
    <row r="2343" spans="4:4" x14ac:dyDescent="0.2">
      <c r="D2343" s="7"/>
    </row>
    <row r="2344" spans="4:4" x14ac:dyDescent="0.2">
      <c r="D2344" s="7"/>
    </row>
    <row r="2345" spans="4:4" x14ac:dyDescent="0.2">
      <c r="D2345" s="7"/>
    </row>
    <row r="2346" spans="4:4" x14ac:dyDescent="0.2">
      <c r="D2346" s="7"/>
    </row>
    <row r="2347" spans="4:4" x14ac:dyDescent="0.2">
      <c r="D2347" s="7"/>
    </row>
    <row r="2348" spans="4:4" x14ac:dyDescent="0.2">
      <c r="D2348" s="7"/>
    </row>
    <row r="2349" spans="4:4" x14ac:dyDescent="0.2">
      <c r="D2349" s="7"/>
    </row>
    <row r="2350" spans="4:4" x14ac:dyDescent="0.2">
      <c r="D2350" s="7"/>
    </row>
    <row r="2351" spans="4:4" x14ac:dyDescent="0.2">
      <c r="D2351" s="7"/>
    </row>
    <row r="2352" spans="4:4" x14ac:dyDescent="0.2">
      <c r="D2352" s="7"/>
    </row>
    <row r="2353" spans="4:4" x14ac:dyDescent="0.2">
      <c r="D2353" s="7"/>
    </row>
    <row r="2354" spans="4:4" x14ac:dyDescent="0.2">
      <c r="D2354" s="7"/>
    </row>
    <row r="2355" spans="4:4" x14ac:dyDescent="0.2">
      <c r="D2355" s="7"/>
    </row>
    <row r="2356" spans="4:4" x14ac:dyDescent="0.2">
      <c r="D2356" s="7"/>
    </row>
    <row r="2357" spans="4:4" x14ac:dyDescent="0.2">
      <c r="D2357" s="7"/>
    </row>
    <row r="2358" spans="4:4" x14ac:dyDescent="0.2">
      <c r="D2358" s="7"/>
    </row>
    <row r="2359" spans="4:4" x14ac:dyDescent="0.2">
      <c r="D2359" s="7"/>
    </row>
    <row r="2360" spans="4:4" x14ac:dyDescent="0.2">
      <c r="D2360" s="7"/>
    </row>
    <row r="2361" spans="4:4" x14ac:dyDescent="0.2">
      <c r="D2361" s="7"/>
    </row>
    <row r="2362" spans="4:4" x14ac:dyDescent="0.2">
      <c r="D2362" s="7"/>
    </row>
    <row r="2363" spans="4:4" x14ac:dyDescent="0.2">
      <c r="D2363" s="7"/>
    </row>
    <row r="2364" spans="4:4" x14ac:dyDescent="0.2">
      <c r="D2364" s="7"/>
    </row>
    <row r="2365" spans="4:4" x14ac:dyDescent="0.2">
      <c r="D2365" s="7"/>
    </row>
    <row r="2366" spans="4:4" x14ac:dyDescent="0.2">
      <c r="D2366" s="7"/>
    </row>
    <row r="2367" spans="4:4" x14ac:dyDescent="0.2">
      <c r="D2367" s="7"/>
    </row>
    <row r="2368" spans="4:4" x14ac:dyDescent="0.2">
      <c r="D2368" s="7"/>
    </row>
    <row r="2369" spans="4:4" x14ac:dyDescent="0.2">
      <c r="D2369" s="7"/>
    </row>
    <row r="2370" spans="4:4" x14ac:dyDescent="0.2">
      <c r="D2370" s="7"/>
    </row>
    <row r="2371" spans="4:4" x14ac:dyDescent="0.2">
      <c r="D2371" s="7"/>
    </row>
    <row r="2372" spans="4:4" x14ac:dyDescent="0.2">
      <c r="D2372" s="7"/>
    </row>
    <row r="2373" spans="4:4" x14ac:dyDescent="0.2">
      <c r="D2373" s="7"/>
    </row>
    <row r="2374" spans="4:4" x14ac:dyDescent="0.2">
      <c r="D2374" s="7"/>
    </row>
    <row r="2375" spans="4:4" x14ac:dyDescent="0.2">
      <c r="D2375" s="7"/>
    </row>
    <row r="2376" spans="4:4" x14ac:dyDescent="0.2">
      <c r="D2376" s="7"/>
    </row>
    <row r="2377" spans="4:4" x14ac:dyDescent="0.2">
      <c r="D2377" s="7"/>
    </row>
    <row r="2378" spans="4:4" x14ac:dyDescent="0.2">
      <c r="D2378" s="7"/>
    </row>
    <row r="2379" spans="4:4" x14ac:dyDescent="0.2">
      <c r="D2379" s="7"/>
    </row>
    <row r="2380" spans="4:4" x14ac:dyDescent="0.2">
      <c r="D2380" s="7"/>
    </row>
    <row r="2381" spans="4:4" x14ac:dyDescent="0.2">
      <c r="D2381" s="7"/>
    </row>
    <row r="2382" spans="4:4" x14ac:dyDescent="0.2">
      <c r="D2382" s="7"/>
    </row>
    <row r="2383" spans="4:4" x14ac:dyDescent="0.2">
      <c r="D2383" s="7"/>
    </row>
    <row r="2384" spans="4:4" x14ac:dyDescent="0.2">
      <c r="D2384" s="7"/>
    </row>
    <row r="2385" spans="4:4" x14ac:dyDescent="0.2">
      <c r="D2385" s="7"/>
    </row>
    <row r="2386" spans="4:4" x14ac:dyDescent="0.2">
      <c r="D2386" s="7"/>
    </row>
    <row r="2387" spans="4:4" x14ac:dyDescent="0.2">
      <c r="D2387" s="7"/>
    </row>
    <row r="2388" spans="4:4" x14ac:dyDescent="0.2">
      <c r="D2388" s="7"/>
    </row>
    <row r="2389" spans="4:4" x14ac:dyDescent="0.2">
      <c r="D2389" s="7"/>
    </row>
    <row r="2390" spans="4:4" x14ac:dyDescent="0.2">
      <c r="D2390" s="7"/>
    </row>
    <row r="2391" spans="4:4" x14ac:dyDescent="0.2">
      <c r="D2391" s="7"/>
    </row>
    <row r="2392" spans="4:4" x14ac:dyDescent="0.2">
      <c r="D2392" s="7"/>
    </row>
    <row r="2393" spans="4:4" x14ac:dyDescent="0.2">
      <c r="D2393" s="7"/>
    </row>
    <row r="2394" spans="4:4" x14ac:dyDescent="0.2">
      <c r="D2394" s="7"/>
    </row>
    <row r="2395" spans="4:4" x14ac:dyDescent="0.2">
      <c r="D2395" s="7"/>
    </row>
    <row r="2396" spans="4:4" x14ac:dyDescent="0.2">
      <c r="D2396" s="7"/>
    </row>
    <row r="2397" spans="4:4" x14ac:dyDescent="0.2">
      <c r="D2397" s="7"/>
    </row>
    <row r="2398" spans="4:4" x14ac:dyDescent="0.2">
      <c r="D2398" s="7"/>
    </row>
    <row r="2399" spans="4:4" x14ac:dyDescent="0.2">
      <c r="D2399" s="7"/>
    </row>
    <row r="2400" spans="4:4" x14ac:dyDescent="0.2">
      <c r="D2400" s="7"/>
    </row>
    <row r="2401" spans="4:4" x14ac:dyDescent="0.2">
      <c r="D2401" s="7"/>
    </row>
    <row r="2402" spans="4:4" x14ac:dyDescent="0.2">
      <c r="D2402" s="7"/>
    </row>
    <row r="2403" spans="4:4" x14ac:dyDescent="0.2">
      <c r="D2403" s="7"/>
    </row>
    <row r="2404" spans="4:4" x14ac:dyDescent="0.2">
      <c r="D2404" s="7"/>
    </row>
    <row r="2405" spans="4:4" x14ac:dyDescent="0.2">
      <c r="D2405" s="7"/>
    </row>
    <row r="2406" spans="4:4" x14ac:dyDescent="0.2">
      <c r="D2406" s="7"/>
    </row>
    <row r="2407" spans="4:4" x14ac:dyDescent="0.2">
      <c r="D2407" s="7"/>
    </row>
    <row r="2408" spans="4:4" x14ac:dyDescent="0.2">
      <c r="D2408" s="7"/>
    </row>
    <row r="2409" spans="4:4" x14ac:dyDescent="0.2">
      <c r="D2409" s="7"/>
    </row>
    <row r="2410" spans="4:4" x14ac:dyDescent="0.2">
      <c r="D2410" s="7"/>
    </row>
    <row r="2411" spans="4:4" x14ac:dyDescent="0.2">
      <c r="D2411" s="7"/>
    </row>
    <row r="2412" spans="4:4" x14ac:dyDescent="0.2">
      <c r="D2412" s="7"/>
    </row>
    <row r="2413" spans="4:4" x14ac:dyDescent="0.2">
      <c r="D2413" s="7"/>
    </row>
    <row r="2414" spans="4:4" x14ac:dyDescent="0.2">
      <c r="D2414" s="7"/>
    </row>
    <row r="2415" spans="4:4" x14ac:dyDescent="0.2">
      <c r="D2415" s="7"/>
    </row>
    <row r="2416" spans="4:4" x14ac:dyDescent="0.2">
      <c r="D2416" s="7"/>
    </row>
    <row r="2417" spans="4:4" x14ac:dyDescent="0.2">
      <c r="D2417" s="7"/>
    </row>
    <row r="2418" spans="4:4" x14ac:dyDescent="0.2">
      <c r="D2418" s="7"/>
    </row>
    <row r="2419" spans="4:4" x14ac:dyDescent="0.2">
      <c r="D2419" s="7"/>
    </row>
    <row r="2420" spans="4:4" x14ac:dyDescent="0.2">
      <c r="D2420" s="7"/>
    </row>
    <row r="2421" spans="4:4" x14ac:dyDescent="0.2">
      <c r="D2421" s="7"/>
    </row>
    <row r="2422" spans="4:4" x14ac:dyDescent="0.2">
      <c r="D2422" s="7"/>
    </row>
    <row r="2423" spans="4:4" x14ac:dyDescent="0.2">
      <c r="D2423" s="7"/>
    </row>
    <row r="2424" spans="4:4" x14ac:dyDescent="0.2">
      <c r="D2424" s="7"/>
    </row>
    <row r="2425" spans="4:4" x14ac:dyDescent="0.2">
      <c r="D2425" s="7"/>
    </row>
    <row r="2426" spans="4:4" x14ac:dyDescent="0.2">
      <c r="D2426" s="7"/>
    </row>
    <row r="2427" spans="4:4" x14ac:dyDescent="0.2">
      <c r="D2427" s="7"/>
    </row>
    <row r="2428" spans="4:4" x14ac:dyDescent="0.2">
      <c r="D2428" s="7"/>
    </row>
    <row r="2429" spans="4:4" x14ac:dyDescent="0.2">
      <c r="D2429" s="7"/>
    </row>
    <row r="2430" spans="4:4" x14ac:dyDescent="0.2">
      <c r="D2430" s="7"/>
    </row>
    <row r="2431" spans="4:4" x14ac:dyDescent="0.2">
      <c r="D2431" s="7"/>
    </row>
    <row r="2432" spans="4:4" x14ac:dyDescent="0.2">
      <c r="D2432" s="7"/>
    </row>
    <row r="2433" spans="4:4" x14ac:dyDescent="0.2">
      <c r="D2433" s="7"/>
    </row>
    <row r="2434" spans="4:4" x14ac:dyDescent="0.2">
      <c r="D2434" s="7"/>
    </row>
    <row r="2435" spans="4:4" x14ac:dyDescent="0.2">
      <c r="D2435" s="7"/>
    </row>
    <row r="2436" spans="4:4" x14ac:dyDescent="0.2">
      <c r="D2436" s="7"/>
    </row>
    <row r="2437" spans="4:4" x14ac:dyDescent="0.2">
      <c r="D2437" s="7"/>
    </row>
    <row r="2438" spans="4:4" x14ac:dyDescent="0.2">
      <c r="D2438" s="7"/>
    </row>
    <row r="2439" spans="4:4" x14ac:dyDescent="0.2">
      <c r="D2439" s="7"/>
    </row>
    <row r="2440" spans="4:4" x14ac:dyDescent="0.2">
      <c r="D2440" s="7"/>
    </row>
    <row r="2441" spans="4:4" x14ac:dyDescent="0.2">
      <c r="D2441" s="7"/>
    </row>
    <row r="2442" spans="4:4" x14ac:dyDescent="0.2">
      <c r="D2442" s="7"/>
    </row>
    <row r="2443" spans="4:4" x14ac:dyDescent="0.2">
      <c r="D2443" s="7"/>
    </row>
    <row r="2444" spans="4:4" x14ac:dyDescent="0.2">
      <c r="D2444" s="7"/>
    </row>
    <row r="2445" spans="4:4" x14ac:dyDescent="0.2">
      <c r="D2445" s="7"/>
    </row>
    <row r="2446" spans="4:4" x14ac:dyDescent="0.2">
      <c r="D2446" s="7"/>
    </row>
    <row r="2447" spans="4:4" x14ac:dyDescent="0.2">
      <c r="D2447" s="7"/>
    </row>
    <row r="2448" spans="4:4" x14ac:dyDescent="0.2">
      <c r="D2448" s="7"/>
    </row>
    <row r="2449" spans="4:4" x14ac:dyDescent="0.2">
      <c r="D2449" s="7"/>
    </row>
    <row r="2450" spans="4:4" x14ac:dyDescent="0.2">
      <c r="D2450" s="7"/>
    </row>
    <row r="2451" spans="4:4" x14ac:dyDescent="0.2">
      <c r="D2451" s="7"/>
    </row>
    <row r="2452" spans="4:4" x14ac:dyDescent="0.2">
      <c r="D2452" s="7"/>
    </row>
    <row r="2453" spans="4:4" x14ac:dyDescent="0.2">
      <c r="D2453" s="7"/>
    </row>
    <row r="2454" spans="4:4" x14ac:dyDescent="0.2">
      <c r="D2454" s="7"/>
    </row>
    <row r="2455" spans="4:4" x14ac:dyDescent="0.2">
      <c r="D2455" s="7"/>
    </row>
    <row r="2456" spans="4:4" x14ac:dyDescent="0.2">
      <c r="D2456" s="7"/>
    </row>
    <row r="2457" spans="4:4" x14ac:dyDescent="0.2">
      <c r="D2457" s="7"/>
    </row>
    <row r="2458" spans="4:4" x14ac:dyDescent="0.2">
      <c r="D2458" s="7"/>
    </row>
    <row r="2459" spans="4:4" x14ac:dyDescent="0.2">
      <c r="D2459" s="7"/>
    </row>
    <row r="2460" spans="4:4" x14ac:dyDescent="0.2">
      <c r="D2460" s="7"/>
    </row>
    <row r="2461" spans="4:4" x14ac:dyDescent="0.2">
      <c r="D2461" s="7"/>
    </row>
    <row r="2462" spans="4:4" x14ac:dyDescent="0.2">
      <c r="D2462" s="7"/>
    </row>
    <row r="2463" spans="4:4" x14ac:dyDescent="0.2">
      <c r="D2463" s="7"/>
    </row>
    <row r="2464" spans="4:4" x14ac:dyDescent="0.2">
      <c r="D2464" s="7"/>
    </row>
    <row r="2465" spans="4:4" x14ac:dyDescent="0.2">
      <c r="D2465" s="7"/>
    </row>
    <row r="2466" spans="4:4" x14ac:dyDescent="0.2">
      <c r="D2466" s="7"/>
    </row>
    <row r="2467" spans="4:4" x14ac:dyDescent="0.2">
      <c r="D2467" s="7"/>
    </row>
    <row r="2468" spans="4:4" x14ac:dyDescent="0.2">
      <c r="D2468" s="7"/>
    </row>
    <row r="2469" spans="4:4" x14ac:dyDescent="0.2">
      <c r="D2469" s="7"/>
    </row>
    <row r="2470" spans="4:4" x14ac:dyDescent="0.2">
      <c r="D2470" s="7"/>
    </row>
    <row r="2471" spans="4:4" x14ac:dyDescent="0.2">
      <c r="D2471" s="7"/>
    </row>
    <row r="2472" spans="4:4" x14ac:dyDescent="0.2">
      <c r="D2472" s="7"/>
    </row>
    <row r="2473" spans="4:4" x14ac:dyDescent="0.2">
      <c r="D2473" s="7"/>
    </row>
    <row r="2474" spans="4:4" x14ac:dyDescent="0.2">
      <c r="D2474" s="7"/>
    </row>
    <row r="2475" spans="4:4" x14ac:dyDescent="0.2">
      <c r="D2475" s="7"/>
    </row>
    <row r="2476" spans="4:4" x14ac:dyDescent="0.2">
      <c r="D2476" s="7"/>
    </row>
    <row r="2477" spans="4:4" x14ac:dyDescent="0.2">
      <c r="D2477" s="7"/>
    </row>
    <row r="2478" spans="4:4" x14ac:dyDescent="0.2">
      <c r="D2478" s="7"/>
    </row>
    <row r="2479" spans="4:4" x14ac:dyDescent="0.2">
      <c r="D2479" s="7"/>
    </row>
    <row r="2480" spans="4:4" x14ac:dyDescent="0.2">
      <c r="D2480" s="7"/>
    </row>
    <row r="2481" spans="4:4" x14ac:dyDescent="0.2">
      <c r="D2481" s="7"/>
    </row>
    <row r="2482" spans="4:4" x14ac:dyDescent="0.2">
      <c r="D2482" s="7"/>
    </row>
    <row r="2483" spans="4:4" x14ac:dyDescent="0.2">
      <c r="D2483" s="7"/>
    </row>
    <row r="2484" spans="4:4" x14ac:dyDescent="0.2">
      <c r="D2484" s="7"/>
    </row>
    <row r="2485" spans="4:4" x14ac:dyDescent="0.2">
      <c r="D2485" s="7"/>
    </row>
    <row r="2486" spans="4:4" x14ac:dyDescent="0.2">
      <c r="D2486" s="7"/>
    </row>
    <row r="2487" spans="4:4" x14ac:dyDescent="0.2">
      <c r="D2487" s="7"/>
    </row>
    <row r="2488" spans="4:4" x14ac:dyDescent="0.2">
      <c r="D2488" s="7"/>
    </row>
    <row r="2489" spans="4:4" x14ac:dyDescent="0.2">
      <c r="D2489" s="7"/>
    </row>
    <row r="2490" spans="4:4" x14ac:dyDescent="0.2">
      <c r="D2490" s="7"/>
    </row>
    <row r="2491" spans="4:4" x14ac:dyDescent="0.2">
      <c r="D2491" s="7"/>
    </row>
    <row r="2492" spans="4:4" x14ac:dyDescent="0.2">
      <c r="D2492" s="7"/>
    </row>
    <row r="2493" spans="4:4" x14ac:dyDescent="0.2">
      <c r="D2493" s="7"/>
    </row>
    <row r="2494" spans="4:4" x14ac:dyDescent="0.2">
      <c r="D2494" s="7"/>
    </row>
    <row r="2495" spans="4:4" x14ac:dyDescent="0.2">
      <c r="D2495" s="7"/>
    </row>
    <row r="2496" spans="4:4" x14ac:dyDescent="0.2">
      <c r="D2496" s="7"/>
    </row>
    <row r="2497" spans="4:4" x14ac:dyDescent="0.2">
      <c r="D2497" s="7"/>
    </row>
    <row r="2498" spans="4:4" x14ac:dyDescent="0.2">
      <c r="D2498" s="7"/>
    </row>
    <row r="2499" spans="4:4" x14ac:dyDescent="0.2">
      <c r="D2499" s="7"/>
    </row>
    <row r="2500" spans="4:4" x14ac:dyDescent="0.2">
      <c r="D2500" s="7"/>
    </row>
    <row r="2501" spans="4:4" x14ac:dyDescent="0.2">
      <c r="D2501" s="7"/>
    </row>
    <row r="2502" spans="4:4" x14ac:dyDescent="0.2">
      <c r="D2502" s="7"/>
    </row>
    <row r="2503" spans="4:4" x14ac:dyDescent="0.2">
      <c r="D2503" s="7"/>
    </row>
    <row r="2504" spans="4:4" x14ac:dyDescent="0.2">
      <c r="D2504" s="7"/>
    </row>
    <row r="2505" spans="4:4" x14ac:dyDescent="0.2">
      <c r="D2505" s="7"/>
    </row>
    <row r="2506" spans="4:4" x14ac:dyDescent="0.2">
      <c r="D2506" s="7"/>
    </row>
    <row r="2507" spans="4:4" x14ac:dyDescent="0.2">
      <c r="D2507" s="7"/>
    </row>
    <row r="2508" spans="4:4" x14ac:dyDescent="0.2">
      <c r="D2508" s="7"/>
    </row>
    <row r="2509" spans="4:4" x14ac:dyDescent="0.2">
      <c r="D2509" s="7"/>
    </row>
    <row r="2510" spans="4:4" x14ac:dyDescent="0.2">
      <c r="D2510" s="7"/>
    </row>
    <row r="2511" spans="4:4" x14ac:dyDescent="0.2">
      <c r="D2511" s="7"/>
    </row>
    <row r="2512" spans="4:4" x14ac:dyDescent="0.2">
      <c r="D2512" s="7"/>
    </row>
    <row r="2513" spans="4:4" x14ac:dyDescent="0.2">
      <c r="D2513" s="7"/>
    </row>
    <row r="2514" spans="4:4" x14ac:dyDescent="0.2">
      <c r="D2514" s="7"/>
    </row>
    <row r="2515" spans="4:4" x14ac:dyDescent="0.2">
      <c r="D2515" s="7"/>
    </row>
    <row r="2516" spans="4:4" x14ac:dyDescent="0.2">
      <c r="D2516" s="7"/>
    </row>
    <row r="2517" spans="4:4" x14ac:dyDescent="0.2">
      <c r="D2517" s="7"/>
    </row>
    <row r="2518" spans="4:4" x14ac:dyDescent="0.2">
      <c r="D2518" s="7"/>
    </row>
    <row r="2519" spans="4:4" x14ac:dyDescent="0.2">
      <c r="D2519" s="7"/>
    </row>
    <row r="2520" spans="4:4" x14ac:dyDescent="0.2">
      <c r="D2520" s="7"/>
    </row>
    <row r="2521" spans="4:4" x14ac:dyDescent="0.2">
      <c r="D2521" s="7"/>
    </row>
    <row r="2522" spans="4:4" x14ac:dyDescent="0.2">
      <c r="D2522" s="7"/>
    </row>
    <row r="2523" spans="4:4" x14ac:dyDescent="0.2">
      <c r="D2523" s="7"/>
    </row>
    <row r="2524" spans="4:4" x14ac:dyDescent="0.2">
      <c r="D2524" s="7"/>
    </row>
    <row r="2525" spans="4:4" x14ac:dyDescent="0.2">
      <c r="D2525" s="7"/>
    </row>
    <row r="2526" spans="4:4" x14ac:dyDescent="0.2">
      <c r="D2526" s="7"/>
    </row>
    <row r="2527" spans="4:4" x14ac:dyDescent="0.2">
      <c r="D2527" s="7"/>
    </row>
    <row r="2528" spans="4:4" x14ac:dyDescent="0.2">
      <c r="D2528" s="7"/>
    </row>
    <row r="2529" spans="4:4" x14ac:dyDescent="0.2">
      <c r="D2529" s="7"/>
    </row>
    <row r="2530" spans="4:4" x14ac:dyDescent="0.2">
      <c r="D2530" s="7"/>
    </row>
    <row r="2531" spans="4:4" x14ac:dyDescent="0.2">
      <c r="D2531" s="7"/>
    </row>
    <row r="2532" spans="4:4" x14ac:dyDescent="0.2">
      <c r="D2532" s="7"/>
    </row>
    <row r="2533" spans="4:4" x14ac:dyDescent="0.2">
      <c r="D2533" s="7"/>
    </row>
    <row r="2534" spans="4:4" x14ac:dyDescent="0.2">
      <c r="D2534" s="7"/>
    </row>
    <row r="2535" spans="4:4" x14ac:dyDescent="0.2">
      <c r="D2535" s="7"/>
    </row>
    <row r="2536" spans="4:4" x14ac:dyDescent="0.2">
      <c r="D2536" s="7"/>
    </row>
    <row r="2537" spans="4:4" x14ac:dyDescent="0.2">
      <c r="D2537" s="7"/>
    </row>
    <row r="2538" spans="4:4" x14ac:dyDescent="0.2">
      <c r="D2538" s="7"/>
    </row>
    <row r="2539" spans="4:4" x14ac:dyDescent="0.2">
      <c r="D2539" s="7"/>
    </row>
    <row r="2540" spans="4:4" x14ac:dyDescent="0.2">
      <c r="D2540" s="7"/>
    </row>
    <row r="2541" spans="4:4" x14ac:dyDescent="0.2">
      <c r="D2541" s="7"/>
    </row>
    <row r="2542" spans="4:4" x14ac:dyDescent="0.2">
      <c r="D2542" s="7"/>
    </row>
    <row r="2543" spans="4:4" x14ac:dyDescent="0.2">
      <c r="D2543" s="7"/>
    </row>
    <row r="2544" spans="4:4" x14ac:dyDescent="0.2">
      <c r="D2544" s="7"/>
    </row>
    <row r="2545" spans="4:4" x14ac:dyDescent="0.2">
      <c r="D2545" s="7"/>
    </row>
    <row r="2546" spans="4:4" x14ac:dyDescent="0.2">
      <c r="D2546" s="7"/>
    </row>
    <row r="2547" spans="4:4" x14ac:dyDescent="0.2">
      <c r="D2547" s="7"/>
    </row>
    <row r="2548" spans="4:4" x14ac:dyDescent="0.2">
      <c r="D2548" s="7"/>
    </row>
    <row r="2549" spans="4:4" x14ac:dyDescent="0.2">
      <c r="D2549" s="7"/>
    </row>
    <row r="2550" spans="4:4" x14ac:dyDescent="0.2">
      <c r="D2550" s="7"/>
    </row>
    <row r="2551" spans="4:4" x14ac:dyDescent="0.2">
      <c r="D2551" s="7"/>
    </row>
    <row r="2552" spans="4:4" x14ac:dyDescent="0.2">
      <c r="D2552" s="7"/>
    </row>
    <row r="2553" spans="4:4" x14ac:dyDescent="0.2">
      <c r="D2553" s="7"/>
    </row>
    <row r="2554" spans="4:4" x14ac:dyDescent="0.2">
      <c r="D2554" s="7"/>
    </row>
    <row r="2555" spans="4:4" x14ac:dyDescent="0.2">
      <c r="D2555" s="7"/>
    </row>
    <row r="2556" spans="4:4" x14ac:dyDescent="0.2">
      <c r="D2556" s="7"/>
    </row>
    <row r="2557" spans="4:4" x14ac:dyDescent="0.2">
      <c r="D2557" s="7"/>
    </row>
    <row r="2558" spans="4:4" x14ac:dyDescent="0.2">
      <c r="D2558" s="7"/>
    </row>
    <row r="2559" spans="4:4" x14ac:dyDescent="0.2">
      <c r="D2559" s="7"/>
    </row>
    <row r="2560" spans="4:4" x14ac:dyDescent="0.2">
      <c r="D2560" s="7"/>
    </row>
    <row r="2561" spans="4:4" x14ac:dyDescent="0.2">
      <c r="D2561" s="7"/>
    </row>
    <row r="2562" spans="4:4" x14ac:dyDescent="0.2">
      <c r="D2562" s="7"/>
    </row>
    <row r="2563" spans="4:4" x14ac:dyDescent="0.2">
      <c r="D2563" s="7"/>
    </row>
    <row r="2564" spans="4:4" x14ac:dyDescent="0.2">
      <c r="D2564" s="7"/>
    </row>
    <row r="2565" spans="4:4" x14ac:dyDescent="0.2">
      <c r="D2565" s="7"/>
    </row>
    <row r="2566" spans="4:4" x14ac:dyDescent="0.2">
      <c r="D2566" s="7"/>
    </row>
    <row r="2567" spans="4:4" x14ac:dyDescent="0.2">
      <c r="D2567" s="7"/>
    </row>
    <row r="2568" spans="4:4" x14ac:dyDescent="0.2">
      <c r="D2568" s="7"/>
    </row>
    <row r="2569" spans="4:4" x14ac:dyDescent="0.2">
      <c r="D2569" s="7"/>
    </row>
    <row r="2570" spans="4:4" x14ac:dyDescent="0.2">
      <c r="D2570" s="7"/>
    </row>
    <row r="2571" spans="4:4" x14ac:dyDescent="0.2">
      <c r="D2571" s="7"/>
    </row>
    <row r="2572" spans="4:4" x14ac:dyDescent="0.2">
      <c r="D2572" s="7"/>
    </row>
    <row r="2573" spans="4:4" x14ac:dyDescent="0.2">
      <c r="D2573" s="7"/>
    </row>
    <row r="2574" spans="4:4" x14ac:dyDescent="0.2">
      <c r="D2574" s="7"/>
    </row>
    <row r="2575" spans="4:4" x14ac:dyDescent="0.2">
      <c r="D2575" s="7"/>
    </row>
    <row r="2576" spans="4:4" x14ac:dyDescent="0.2">
      <c r="D2576" s="7"/>
    </row>
    <row r="2577" spans="4:4" x14ac:dyDescent="0.2">
      <c r="D2577" s="7"/>
    </row>
    <row r="2578" spans="4:4" x14ac:dyDescent="0.2">
      <c r="D2578" s="7"/>
    </row>
    <row r="2579" spans="4:4" x14ac:dyDescent="0.2">
      <c r="D2579" s="7"/>
    </row>
    <row r="2580" spans="4:4" x14ac:dyDescent="0.2">
      <c r="D2580" s="7"/>
    </row>
    <row r="2581" spans="4:4" x14ac:dyDescent="0.2">
      <c r="D2581" s="7"/>
    </row>
    <row r="2582" spans="4:4" x14ac:dyDescent="0.2">
      <c r="D2582" s="7"/>
    </row>
    <row r="2583" spans="4:4" x14ac:dyDescent="0.2">
      <c r="D2583" s="7"/>
    </row>
    <row r="2584" spans="4:4" x14ac:dyDescent="0.2">
      <c r="D2584" s="7"/>
    </row>
    <row r="2585" spans="4:4" x14ac:dyDescent="0.2">
      <c r="D2585" s="7"/>
    </row>
    <row r="2586" spans="4:4" x14ac:dyDescent="0.2">
      <c r="D2586" s="7"/>
    </row>
    <row r="2587" spans="4:4" x14ac:dyDescent="0.2">
      <c r="D2587" s="7"/>
    </row>
    <row r="2588" spans="4:4" x14ac:dyDescent="0.2">
      <c r="D2588" s="7"/>
    </row>
    <row r="2589" spans="4:4" x14ac:dyDescent="0.2">
      <c r="D2589" s="7"/>
    </row>
    <row r="2590" spans="4:4" x14ac:dyDescent="0.2">
      <c r="D2590" s="7"/>
    </row>
    <row r="2591" spans="4:4" x14ac:dyDescent="0.2">
      <c r="D2591" s="7"/>
    </row>
    <row r="2592" spans="4:4" x14ac:dyDescent="0.2">
      <c r="D2592" s="7"/>
    </row>
    <row r="2593" spans="4:4" x14ac:dyDescent="0.2">
      <c r="D2593" s="7"/>
    </row>
    <row r="2594" spans="4:4" x14ac:dyDescent="0.2">
      <c r="D2594" s="7"/>
    </row>
    <row r="2595" spans="4:4" x14ac:dyDescent="0.2">
      <c r="D2595" s="7"/>
    </row>
    <row r="2596" spans="4:4" x14ac:dyDescent="0.2">
      <c r="D2596" s="7"/>
    </row>
    <row r="2597" spans="4:4" x14ac:dyDescent="0.2">
      <c r="D2597" s="7"/>
    </row>
    <row r="2598" spans="4:4" x14ac:dyDescent="0.2">
      <c r="D2598" s="7"/>
    </row>
    <row r="2599" spans="4:4" x14ac:dyDescent="0.2">
      <c r="D2599" s="7"/>
    </row>
    <row r="2600" spans="4:4" x14ac:dyDescent="0.2">
      <c r="D2600" s="7"/>
    </row>
    <row r="2601" spans="4:4" x14ac:dyDescent="0.2">
      <c r="D2601" s="7"/>
    </row>
    <row r="2602" spans="4:4" x14ac:dyDescent="0.2">
      <c r="D2602" s="7"/>
    </row>
    <row r="2603" spans="4:4" x14ac:dyDescent="0.2">
      <c r="D2603" s="7"/>
    </row>
    <row r="2604" spans="4:4" x14ac:dyDescent="0.2">
      <c r="D2604" s="7"/>
    </row>
    <row r="2605" spans="4:4" x14ac:dyDescent="0.2">
      <c r="D2605" s="7"/>
    </row>
    <row r="2606" spans="4:4" x14ac:dyDescent="0.2">
      <c r="D2606" s="7"/>
    </row>
    <row r="2607" spans="4:4" x14ac:dyDescent="0.2">
      <c r="D2607" s="7"/>
    </row>
    <row r="2608" spans="4:4" x14ac:dyDescent="0.2">
      <c r="D2608" s="7"/>
    </row>
    <row r="2609" spans="4:4" x14ac:dyDescent="0.2">
      <c r="D2609" s="7"/>
    </row>
    <row r="2610" spans="4:4" x14ac:dyDescent="0.2">
      <c r="D2610" s="7"/>
    </row>
    <row r="2611" spans="4:4" x14ac:dyDescent="0.2">
      <c r="D2611" s="7"/>
    </row>
    <row r="2612" spans="4:4" x14ac:dyDescent="0.2">
      <c r="D2612" s="7"/>
    </row>
    <row r="2613" spans="4:4" x14ac:dyDescent="0.2">
      <c r="D2613" s="7"/>
    </row>
    <row r="2614" spans="4:4" x14ac:dyDescent="0.2">
      <c r="D2614" s="7"/>
    </row>
    <row r="2615" spans="4:4" x14ac:dyDescent="0.2">
      <c r="D2615" s="7"/>
    </row>
    <row r="2616" spans="4:4" x14ac:dyDescent="0.2">
      <c r="D2616" s="7"/>
    </row>
    <row r="2617" spans="4:4" x14ac:dyDescent="0.2">
      <c r="D2617" s="7"/>
    </row>
    <row r="2618" spans="4:4" x14ac:dyDescent="0.2">
      <c r="D2618" s="7"/>
    </row>
    <row r="2619" spans="4:4" x14ac:dyDescent="0.2">
      <c r="D2619" s="7"/>
    </row>
    <row r="2620" spans="4:4" x14ac:dyDescent="0.2">
      <c r="D2620" s="7"/>
    </row>
    <row r="2621" spans="4:4" x14ac:dyDescent="0.2">
      <c r="D2621" s="7"/>
    </row>
    <row r="2622" spans="4:4" x14ac:dyDescent="0.2">
      <c r="D2622" s="7"/>
    </row>
    <row r="2623" spans="4:4" x14ac:dyDescent="0.2">
      <c r="D2623" s="7"/>
    </row>
    <row r="2624" spans="4:4" x14ac:dyDescent="0.2">
      <c r="D2624" s="7"/>
    </row>
    <row r="2625" spans="4:4" x14ac:dyDescent="0.2">
      <c r="D2625" s="7"/>
    </row>
    <row r="2626" spans="4:4" x14ac:dyDescent="0.2">
      <c r="D2626" s="7"/>
    </row>
    <row r="2627" spans="4:4" x14ac:dyDescent="0.2">
      <c r="D2627" s="7"/>
    </row>
    <row r="2628" spans="4:4" x14ac:dyDescent="0.2">
      <c r="D2628" s="7"/>
    </row>
    <row r="2629" spans="4:4" x14ac:dyDescent="0.2">
      <c r="D2629" s="7"/>
    </row>
    <row r="2630" spans="4:4" x14ac:dyDescent="0.2">
      <c r="D2630" s="7"/>
    </row>
    <row r="2631" spans="4:4" x14ac:dyDescent="0.2">
      <c r="D2631" s="7"/>
    </row>
    <row r="2632" spans="4:4" x14ac:dyDescent="0.2">
      <c r="D2632" s="7"/>
    </row>
    <row r="2633" spans="4:4" x14ac:dyDescent="0.2">
      <c r="D2633" s="7"/>
    </row>
    <row r="2634" spans="4:4" x14ac:dyDescent="0.2">
      <c r="D2634" s="7"/>
    </row>
    <row r="2635" spans="4:4" x14ac:dyDescent="0.2">
      <c r="D2635" s="7"/>
    </row>
    <row r="2636" spans="4:4" x14ac:dyDescent="0.2">
      <c r="D2636" s="7"/>
    </row>
    <row r="2637" spans="4:4" x14ac:dyDescent="0.2">
      <c r="D2637" s="7"/>
    </row>
    <row r="2638" spans="4:4" x14ac:dyDescent="0.2">
      <c r="D2638" s="7"/>
    </row>
    <row r="2639" spans="4:4" x14ac:dyDescent="0.2">
      <c r="D2639" s="7"/>
    </row>
    <row r="2640" spans="4:4" x14ac:dyDescent="0.2">
      <c r="D2640" s="7"/>
    </row>
    <row r="2641" spans="4:4" x14ac:dyDescent="0.2">
      <c r="D2641" s="7"/>
    </row>
    <row r="2642" spans="4:4" x14ac:dyDescent="0.2">
      <c r="D2642" s="7"/>
    </row>
    <row r="2643" spans="4:4" x14ac:dyDescent="0.2">
      <c r="D2643" s="7"/>
    </row>
    <row r="2644" spans="4:4" x14ac:dyDescent="0.2">
      <c r="D2644" s="7"/>
    </row>
    <row r="2645" spans="4:4" x14ac:dyDescent="0.2">
      <c r="D2645" s="7"/>
    </row>
    <row r="2646" spans="4:4" x14ac:dyDescent="0.2">
      <c r="D2646" s="7"/>
    </row>
    <row r="2647" spans="4:4" x14ac:dyDescent="0.2">
      <c r="D2647" s="7"/>
    </row>
    <row r="2648" spans="4:4" x14ac:dyDescent="0.2">
      <c r="D2648" s="7"/>
    </row>
    <row r="2649" spans="4:4" x14ac:dyDescent="0.2">
      <c r="D2649" s="7"/>
    </row>
    <row r="2650" spans="4:4" x14ac:dyDescent="0.2">
      <c r="D2650" s="7"/>
    </row>
    <row r="2651" spans="4:4" x14ac:dyDescent="0.2">
      <c r="D2651" s="7"/>
    </row>
    <row r="2652" spans="4:4" x14ac:dyDescent="0.2">
      <c r="D2652" s="7"/>
    </row>
    <row r="2653" spans="4:4" x14ac:dyDescent="0.2">
      <c r="D2653" s="7"/>
    </row>
    <row r="2654" spans="4:4" x14ac:dyDescent="0.2">
      <c r="D2654" s="7"/>
    </row>
    <row r="2655" spans="4:4" x14ac:dyDescent="0.2">
      <c r="D2655" s="7"/>
    </row>
    <row r="2656" spans="4:4" x14ac:dyDescent="0.2">
      <c r="D2656" s="7"/>
    </row>
    <row r="2657" spans="4:4" x14ac:dyDescent="0.2">
      <c r="D2657" s="7"/>
    </row>
    <row r="2658" spans="4:4" x14ac:dyDescent="0.2">
      <c r="D2658" s="7"/>
    </row>
    <row r="2659" spans="4:4" x14ac:dyDescent="0.2">
      <c r="D2659" s="7"/>
    </row>
    <row r="2660" spans="4:4" x14ac:dyDescent="0.2">
      <c r="D2660" s="7"/>
    </row>
    <row r="2661" spans="4:4" x14ac:dyDescent="0.2">
      <c r="D2661" s="7"/>
    </row>
    <row r="2662" spans="4:4" x14ac:dyDescent="0.2">
      <c r="D2662" s="7"/>
    </row>
    <row r="2663" spans="4:4" x14ac:dyDescent="0.2">
      <c r="D2663" s="7"/>
    </row>
    <row r="2664" spans="4:4" x14ac:dyDescent="0.2">
      <c r="D2664" s="7"/>
    </row>
    <row r="2665" spans="4:4" x14ac:dyDescent="0.2">
      <c r="D2665" s="7"/>
    </row>
    <row r="2666" spans="4:4" x14ac:dyDescent="0.2">
      <c r="D2666" s="7"/>
    </row>
    <row r="2667" spans="4:4" x14ac:dyDescent="0.2">
      <c r="D2667" s="7"/>
    </row>
    <row r="2668" spans="4:4" x14ac:dyDescent="0.2">
      <c r="D2668" s="7"/>
    </row>
    <row r="2669" spans="4:4" x14ac:dyDescent="0.2">
      <c r="D2669" s="7"/>
    </row>
    <row r="2670" spans="4:4" x14ac:dyDescent="0.2">
      <c r="D2670" s="7"/>
    </row>
    <row r="2671" spans="4:4" x14ac:dyDescent="0.2">
      <c r="D2671" s="7"/>
    </row>
    <row r="2672" spans="4:4" x14ac:dyDescent="0.2">
      <c r="D2672" s="7"/>
    </row>
    <row r="2673" spans="4:4" x14ac:dyDescent="0.2">
      <c r="D2673" s="7"/>
    </row>
    <row r="2674" spans="4:4" x14ac:dyDescent="0.2">
      <c r="D2674" s="7"/>
    </row>
    <row r="2675" spans="4:4" x14ac:dyDescent="0.2">
      <c r="D2675" s="7"/>
    </row>
    <row r="2676" spans="4:4" x14ac:dyDescent="0.2">
      <c r="D2676" s="7"/>
    </row>
    <row r="2677" spans="4:4" x14ac:dyDescent="0.2">
      <c r="D2677" s="7"/>
    </row>
    <row r="2678" spans="4:4" x14ac:dyDescent="0.2">
      <c r="D2678" s="7"/>
    </row>
    <row r="2679" spans="4:4" x14ac:dyDescent="0.2">
      <c r="D2679" s="7"/>
    </row>
    <row r="2680" spans="4:4" x14ac:dyDescent="0.2">
      <c r="D2680" s="7"/>
    </row>
    <row r="2681" spans="4:4" x14ac:dyDescent="0.2">
      <c r="D2681" s="7"/>
    </row>
    <row r="2682" spans="4:4" x14ac:dyDescent="0.2">
      <c r="D2682" s="7"/>
    </row>
    <row r="2683" spans="4:4" x14ac:dyDescent="0.2">
      <c r="D2683" s="7"/>
    </row>
    <row r="2684" spans="4:4" x14ac:dyDescent="0.2">
      <c r="D2684" s="7"/>
    </row>
    <row r="2685" spans="4:4" x14ac:dyDescent="0.2">
      <c r="D2685" s="7"/>
    </row>
    <row r="2686" spans="4:4" x14ac:dyDescent="0.2">
      <c r="D2686" s="7"/>
    </row>
    <row r="2687" spans="4:4" x14ac:dyDescent="0.2">
      <c r="D2687" s="7"/>
    </row>
    <row r="2688" spans="4:4" x14ac:dyDescent="0.2">
      <c r="D2688" s="7"/>
    </row>
    <row r="2689" spans="4:4" x14ac:dyDescent="0.2">
      <c r="D2689" s="7"/>
    </row>
    <row r="2690" spans="4:4" x14ac:dyDescent="0.2">
      <c r="D2690" s="7"/>
    </row>
    <row r="2691" spans="4:4" x14ac:dyDescent="0.2">
      <c r="D2691" s="7"/>
    </row>
    <row r="2692" spans="4:4" x14ac:dyDescent="0.2">
      <c r="D2692" s="7"/>
    </row>
    <row r="2693" spans="4:4" x14ac:dyDescent="0.2">
      <c r="D2693" s="7"/>
    </row>
    <row r="2694" spans="4:4" x14ac:dyDescent="0.2">
      <c r="D2694" s="7"/>
    </row>
    <row r="2695" spans="4:4" x14ac:dyDescent="0.2">
      <c r="D2695" s="7"/>
    </row>
    <row r="2696" spans="4:4" x14ac:dyDescent="0.2">
      <c r="D2696" s="7"/>
    </row>
    <row r="2697" spans="4:4" x14ac:dyDescent="0.2">
      <c r="D2697" s="7"/>
    </row>
    <row r="2698" spans="4:4" x14ac:dyDescent="0.2">
      <c r="D2698" s="7"/>
    </row>
    <row r="2699" spans="4:4" x14ac:dyDescent="0.2">
      <c r="D2699" s="7"/>
    </row>
    <row r="2700" spans="4:4" x14ac:dyDescent="0.2">
      <c r="D2700" s="7"/>
    </row>
    <row r="2701" spans="4:4" x14ac:dyDescent="0.2">
      <c r="D2701" s="7"/>
    </row>
    <row r="2702" spans="4:4" x14ac:dyDescent="0.2">
      <c r="D2702" s="7"/>
    </row>
    <row r="2703" spans="4:4" x14ac:dyDescent="0.2">
      <c r="D2703" s="7"/>
    </row>
    <row r="2704" spans="4:4" x14ac:dyDescent="0.2">
      <c r="D2704" s="7"/>
    </row>
    <row r="2705" spans="4:4" x14ac:dyDescent="0.2">
      <c r="D2705" s="7"/>
    </row>
    <row r="2706" spans="4:4" x14ac:dyDescent="0.2">
      <c r="D2706" s="7"/>
    </row>
    <row r="2707" spans="4:4" x14ac:dyDescent="0.2">
      <c r="D2707" s="7"/>
    </row>
    <row r="2708" spans="4:4" x14ac:dyDescent="0.2">
      <c r="D2708" s="7"/>
    </row>
    <row r="2709" spans="4:4" x14ac:dyDescent="0.2">
      <c r="D2709" s="7"/>
    </row>
    <row r="2710" spans="4:4" x14ac:dyDescent="0.2">
      <c r="D2710" s="7"/>
    </row>
    <row r="2711" spans="4:4" x14ac:dyDescent="0.2">
      <c r="D2711" s="7"/>
    </row>
    <row r="2712" spans="4:4" x14ac:dyDescent="0.2">
      <c r="D2712" s="7"/>
    </row>
    <row r="2713" spans="4:4" x14ac:dyDescent="0.2">
      <c r="D2713" s="7"/>
    </row>
    <row r="2714" spans="4:4" x14ac:dyDescent="0.2">
      <c r="D2714" s="7"/>
    </row>
    <row r="2715" spans="4:4" x14ac:dyDescent="0.2">
      <c r="D2715" s="7"/>
    </row>
    <row r="2716" spans="4:4" x14ac:dyDescent="0.2">
      <c r="D2716" s="7"/>
    </row>
    <row r="2717" spans="4:4" x14ac:dyDescent="0.2">
      <c r="D2717" s="7"/>
    </row>
    <row r="2718" spans="4:4" x14ac:dyDescent="0.2">
      <c r="D2718" s="7"/>
    </row>
    <row r="2719" spans="4:4" x14ac:dyDescent="0.2">
      <c r="D2719" s="7"/>
    </row>
    <row r="2720" spans="4:4" x14ac:dyDescent="0.2">
      <c r="D2720" s="7"/>
    </row>
    <row r="2721" spans="4:4" x14ac:dyDescent="0.2">
      <c r="D2721" s="7"/>
    </row>
    <row r="2722" spans="4:4" x14ac:dyDescent="0.2">
      <c r="D2722" s="7"/>
    </row>
    <row r="2723" spans="4:4" x14ac:dyDescent="0.2">
      <c r="D2723" s="7"/>
    </row>
    <row r="2724" spans="4:4" x14ac:dyDescent="0.2">
      <c r="D2724" s="7"/>
    </row>
    <row r="2725" spans="4:4" x14ac:dyDescent="0.2">
      <c r="D2725" s="7"/>
    </row>
    <row r="2726" spans="4:4" x14ac:dyDescent="0.2">
      <c r="D2726" s="7"/>
    </row>
    <row r="2727" spans="4:4" x14ac:dyDescent="0.2">
      <c r="D2727" s="7"/>
    </row>
    <row r="2728" spans="4:4" x14ac:dyDescent="0.2">
      <c r="D2728" s="7"/>
    </row>
    <row r="2729" spans="4:4" x14ac:dyDescent="0.2">
      <c r="D2729" s="7"/>
    </row>
    <row r="2730" spans="4:4" x14ac:dyDescent="0.2">
      <c r="D2730" s="7"/>
    </row>
    <row r="2731" spans="4:4" x14ac:dyDescent="0.2">
      <c r="D2731" s="7"/>
    </row>
    <row r="2732" spans="4:4" x14ac:dyDescent="0.2">
      <c r="D2732" s="7"/>
    </row>
    <row r="2733" spans="4:4" x14ac:dyDescent="0.2">
      <c r="D2733" s="7"/>
    </row>
    <row r="2734" spans="4:4" x14ac:dyDescent="0.2">
      <c r="D2734" s="7"/>
    </row>
    <row r="2735" spans="4:4" x14ac:dyDescent="0.2">
      <c r="D2735" s="7"/>
    </row>
    <row r="2736" spans="4:4" x14ac:dyDescent="0.2">
      <c r="D2736" s="7"/>
    </row>
    <row r="2737" spans="4:4" x14ac:dyDescent="0.2">
      <c r="D2737" s="7"/>
    </row>
    <row r="2738" spans="4:4" x14ac:dyDescent="0.2">
      <c r="D2738" s="7"/>
    </row>
    <row r="2739" spans="4:4" x14ac:dyDescent="0.2">
      <c r="D2739" s="7"/>
    </row>
    <row r="2740" spans="4:4" x14ac:dyDescent="0.2">
      <c r="D2740" s="7"/>
    </row>
    <row r="2741" spans="4:4" x14ac:dyDescent="0.2">
      <c r="D2741" s="7"/>
    </row>
    <row r="2742" spans="4:4" x14ac:dyDescent="0.2">
      <c r="D2742" s="7"/>
    </row>
    <row r="2743" spans="4:4" x14ac:dyDescent="0.2">
      <c r="D2743" s="7"/>
    </row>
    <row r="2744" spans="4:4" x14ac:dyDescent="0.2">
      <c r="D2744" s="7"/>
    </row>
    <row r="2745" spans="4:4" x14ac:dyDescent="0.2">
      <c r="D2745" s="7"/>
    </row>
    <row r="2746" spans="4:4" x14ac:dyDescent="0.2">
      <c r="D2746" s="7"/>
    </row>
    <row r="2747" spans="4:4" x14ac:dyDescent="0.2">
      <c r="D2747" s="7"/>
    </row>
    <row r="2748" spans="4:4" x14ac:dyDescent="0.2">
      <c r="D2748" s="7"/>
    </row>
    <row r="2749" spans="4:4" x14ac:dyDescent="0.2">
      <c r="D2749" s="7"/>
    </row>
    <row r="2750" spans="4:4" x14ac:dyDescent="0.2">
      <c r="D2750" s="7"/>
    </row>
    <row r="2751" spans="4:4" x14ac:dyDescent="0.2">
      <c r="D2751" s="7"/>
    </row>
    <row r="2752" spans="4:4" x14ac:dyDescent="0.2">
      <c r="D2752" s="7"/>
    </row>
    <row r="2753" spans="4:4" x14ac:dyDescent="0.2">
      <c r="D2753" s="7"/>
    </row>
    <row r="2754" spans="4:4" x14ac:dyDescent="0.2">
      <c r="D2754" s="7"/>
    </row>
    <row r="2755" spans="4:4" x14ac:dyDescent="0.2">
      <c r="D2755" s="7"/>
    </row>
    <row r="2756" spans="4:4" x14ac:dyDescent="0.2">
      <c r="D2756" s="7"/>
    </row>
    <row r="2757" spans="4:4" x14ac:dyDescent="0.2">
      <c r="D2757" s="7"/>
    </row>
    <row r="2758" spans="4:4" x14ac:dyDescent="0.2">
      <c r="D2758" s="7"/>
    </row>
    <row r="2759" spans="4:4" x14ac:dyDescent="0.2">
      <c r="D2759" s="7"/>
    </row>
    <row r="2760" spans="4:4" x14ac:dyDescent="0.2">
      <c r="D2760" s="7"/>
    </row>
    <row r="2761" spans="4:4" x14ac:dyDescent="0.2">
      <c r="D2761" s="7"/>
    </row>
    <row r="2762" spans="4:4" x14ac:dyDescent="0.2">
      <c r="D2762" s="7"/>
    </row>
    <row r="2763" spans="4:4" x14ac:dyDescent="0.2">
      <c r="D2763" s="7"/>
    </row>
    <row r="2764" spans="4:4" x14ac:dyDescent="0.2">
      <c r="D2764" s="7"/>
    </row>
    <row r="2765" spans="4:4" x14ac:dyDescent="0.2">
      <c r="D2765" s="7"/>
    </row>
    <row r="2766" spans="4:4" x14ac:dyDescent="0.2">
      <c r="D2766" s="7"/>
    </row>
    <row r="2767" spans="4:4" x14ac:dyDescent="0.2">
      <c r="D2767" s="7"/>
    </row>
    <row r="2768" spans="4:4" x14ac:dyDescent="0.2">
      <c r="D2768" s="7"/>
    </row>
    <row r="2769" spans="4:4" x14ac:dyDescent="0.2">
      <c r="D2769" s="7"/>
    </row>
    <row r="2770" spans="4:4" x14ac:dyDescent="0.2">
      <c r="D2770" s="7"/>
    </row>
    <row r="2771" spans="4:4" x14ac:dyDescent="0.2">
      <c r="D2771" s="7"/>
    </row>
    <row r="2772" spans="4:4" x14ac:dyDescent="0.2">
      <c r="D2772" s="7"/>
    </row>
    <row r="2773" spans="4:4" x14ac:dyDescent="0.2">
      <c r="D2773" s="7"/>
    </row>
    <row r="2774" spans="4:4" x14ac:dyDescent="0.2">
      <c r="D2774" s="7"/>
    </row>
    <row r="2775" spans="4:4" x14ac:dyDescent="0.2">
      <c r="D2775" s="7"/>
    </row>
    <row r="2776" spans="4:4" x14ac:dyDescent="0.2">
      <c r="D2776" s="7"/>
    </row>
    <row r="2777" spans="4:4" x14ac:dyDescent="0.2">
      <c r="D2777" s="7"/>
    </row>
    <row r="2778" spans="4:4" x14ac:dyDescent="0.2">
      <c r="D2778" s="7"/>
    </row>
    <row r="2779" spans="4:4" x14ac:dyDescent="0.2">
      <c r="D2779" s="7"/>
    </row>
    <row r="2780" spans="4:4" x14ac:dyDescent="0.2">
      <c r="D2780" s="7"/>
    </row>
    <row r="2781" spans="4:4" x14ac:dyDescent="0.2">
      <c r="D2781" s="7"/>
    </row>
    <row r="2782" spans="4:4" x14ac:dyDescent="0.2">
      <c r="D2782" s="7"/>
    </row>
    <row r="2783" spans="4:4" x14ac:dyDescent="0.2">
      <c r="D2783" s="7"/>
    </row>
    <row r="2784" spans="4:4" x14ac:dyDescent="0.2">
      <c r="D2784" s="7"/>
    </row>
    <row r="2785" spans="4:4" x14ac:dyDescent="0.2">
      <c r="D2785" s="7"/>
    </row>
    <row r="2786" spans="4:4" x14ac:dyDescent="0.2">
      <c r="D2786" s="7"/>
    </row>
    <row r="2787" spans="4:4" x14ac:dyDescent="0.2">
      <c r="D2787" s="7"/>
    </row>
    <row r="2788" spans="4:4" x14ac:dyDescent="0.2">
      <c r="D2788" s="7"/>
    </row>
    <row r="2789" spans="4:4" x14ac:dyDescent="0.2">
      <c r="D2789" s="7"/>
    </row>
    <row r="2790" spans="4:4" x14ac:dyDescent="0.2">
      <c r="D2790" s="7"/>
    </row>
    <row r="2791" spans="4:4" x14ac:dyDescent="0.2">
      <c r="D2791" s="7"/>
    </row>
    <row r="2792" spans="4:4" x14ac:dyDescent="0.2">
      <c r="D2792" s="7"/>
    </row>
    <row r="2793" spans="4:4" x14ac:dyDescent="0.2">
      <c r="D2793" s="7"/>
    </row>
    <row r="2794" spans="4:4" x14ac:dyDescent="0.2">
      <c r="D2794" s="7"/>
    </row>
    <row r="2795" spans="4:4" x14ac:dyDescent="0.2">
      <c r="D2795" s="7"/>
    </row>
    <row r="2796" spans="4:4" x14ac:dyDescent="0.2">
      <c r="D2796" s="7"/>
    </row>
    <row r="2797" spans="4:4" x14ac:dyDescent="0.2">
      <c r="D2797" s="7"/>
    </row>
    <row r="2798" spans="4:4" x14ac:dyDescent="0.2">
      <c r="D2798" s="7"/>
    </row>
    <row r="2799" spans="4:4" x14ac:dyDescent="0.2">
      <c r="D2799" s="7"/>
    </row>
    <row r="2800" spans="4:4" x14ac:dyDescent="0.2">
      <c r="D2800" s="7"/>
    </row>
    <row r="2801" spans="4:4" x14ac:dyDescent="0.2">
      <c r="D2801" s="7"/>
    </row>
    <row r="2802" spans="4:4" x14ac:dyDescent="0.2">
      <c r="D2802" s="7"/>
    </row>
    <row r="2803" spans="4:4" x14ac:dyDescent="0.2">
      <c r="D2803" s="7"/>
    </row>
    <row r="2804" spans="4:4" x14ac:dyDescent="0.2">
      <c r="D2804" s="7"/>
    </row>
    <row r="2805" spans="4:4" x14ac:dyDescent="0.2">
      <c r="D2805" s="7"/>
    </row>
    <row r="2806" spans="4:4" x14ac:dyDescent="0.2">
      <c r="D2806" s="7"/>
    </row>
    <row r="2807" spans="4:4" x14ac:dyDescent="0.2">
      <c r="D2807" s="7"/>
    </row>
    <row r="2808" spans="4:4" x14ac:dyDescent="0.2">
      <c r="D2808" s="7"/>
    </row>
    <row r="2809" spans="4:4" x14ac:dyDescent="0.2">
      <c r="D2809" s="7"/>
    </row>
    <row r="2810" spans="4:4" x14ac:dyDescent="0.2">
      <c r="D2810" s="7"/>
    </row>
    <row r="2811" spans="4:4" x14ac:dyDescent="0.2">
      <c r="D2811" s="7"/>
    </row>
    <row r="2812" spans="4:4" x14ac:dyDescent="0.2">
      <c r="D2812" s="7"/>
    </row>
    <row r="2813" spans="4:4" x14ac:dyDescent="0.2">
      <c r="D2813" s="7"/>
    </row>
    <row r="2814" spans="4:4" x14ac:dyDescent="0.2">
      <c r="D2814" s="7"/>
    </row>
    <row r="2815" spans="4:4" x14ac:dyDescent="0.2">
      <c r="D2815" s="7"/>
    </row>
    <row r="2816" spans="4:4" x14ac:dyDescent="0.2">
      <c r="D2816" s="7"/>
    </row>
    <row r="2817" spans="4:4" x14ac:dyDescent="0.2">
      <c r="D2817" s="7"/>
    </row>
    <row r="2818" spans="4:4" x14ac:dyDescent="0.2">
      <c r="D2818" s="7"/>
    </row>
    <row r="2819" spans="4:4" x14ac:dyDescent="0.2">
      <c r="D2819" s="7"/>
    </row>
    <row r="2820" spans="4:4" x14ac:dyDescent="0.2">
      <c r="D2820" s="7"/>
    </row>
    <row r="2821" spans="4:4" x14ac:dyDescent="0.2">
      <c r="D2821" s="7"/>
    </row>
    <row r="2822" spans="4:4" x14ac:dyDescent="0.2">
      <c r="D2822" s="7"/>
    </row>
    <row r="2823" spans="4:4" x14ac:dyDescent="0.2">
      <c r="D2823" s="7"/>
    </row>
    <row r="2824" spans="4:4" x14ac:dyDescent="0.2">
      <c r="D2824" s="7"/>
    </row>
    <row r="2825" spans="4:4" x14ac:dyDescent="0.2">
      <c r="D2825" s="7"/>
    </row>
    <row r="2826" spans="4:4" x14ac:dyDescent="0.2">
      <c r="D2826" s="7"/>
    </row>
    <row r="2827" spans="4:4" x14ac:dyDescent="0.2">
      <c r="D2827" s="7"/>
    </row>
    <row r="2828" spans="4:4" x14ac:dyDescent="0.2">
      <c r="D2828" s="7"/>
    </row>
    <row r="2829" spans="4:4" x14ac:dyDescent="0.2">
      <c r="D2829" s="7"/>
    </row>
    <row r="2830" spans="4:4" x14ac:dyDescent="0.2">
      <c r="D2830" s="7"/>
    </row>
    <row r="2831" spans="4:4" x14ac:dyDescent="0.2">
      <c r="D2831" s="7"/>
    </row>
    <row r="2832" spans="4:4" x14ac:dyDescent="0.2">
      <c r="D2832" s="7"/>
    </row>
    <row r="2833" spans="4:4" x14ac:dyDescent="0.2">
      <c r="D2833" s="7"/>
    </row>
    <row r="2834" spans="4:4" x14ac:dyDescent="0.2">
      <c r="D2834" s="7"/>
    </row>
    <row r="2835" spans="4:4" x14ac:dyDescent="0.2">
      <c r="D2835" s="7"/>
    </row>
    <row r="2836" spans="4:4" x14ac:dyDescent="0.2">
      <c r="D2836" s="7"/>
    </row>
    <row r="2837" spans="4:4" x14ac:dyDescent="0.2">
      <c r="D2837" s="7"/>
    </row>
    <row r="2838" spans="4:4" x14ac:dyDescent="0.2">
      <c r="D2838" s="7"/>
    </row>
    <row r="2839" spans="4:4" x14ac:dyDescent="0.2">
      <c r="D2839" s="7"/>
    </row>
    <row r="2840" spans="4:4" x14ac:dyDescent="0.2">
      <c r="D2840" s="7"/>
    </row>
    <row r="2841" spans="4:4" x14ac:dyDescent="0.2">
      <c r="D2841" s="7"/>
    </row>
    <row r="2842" spans="4:4" x14ac:dyDescent="0.2">
      <c r="D2842" s="7"/>
    </row>
    <row r="2843" spans="4:4" x14ac:dyDescent="0.2">
      <c r="D2843" s="7"/>
    </row>
    <row r="2844" spans="4:4" x14ac:dyDescent="0.2">
      <c r="D2844" s="7"/>
    </row>
    <row r="2845" spans="4:4" x14ac:dyDescent="0.2">
      <c r="D2845" s="7"/>
    </row>
    <row r="2846" spans="4:4" x14ac:dyDescent="0.2">
      <c r="D2846" s="7"/>
    </row>
    <row r="2847" spans="4:4" x14ac:dyDescent="0.2">
      <c r="D2847" s="7"/>
    </row>
    <row r="2848" spans="4:4" x14ac:dyDescent="0.2">
      <c r="D2848" s="7"/>
    </row>
    <row r="2849" spans="4:4" x14ac:dyDescent="0.2">
      <c r="D2849" s="7"/>
    </row>
    <row r="2850" spans="4:4" x14ac:dyDescent="0.2">
      <c r="D2850" s="7"/>
    </row>
    <row r="2851" spans="4:4" x14ac:dyDescent="0.2">
      <c r="D2851" s="7"/>
    </row>
    <row r="2852" spans="4:4" x14ac:dyDescent="0.2">
      <c r="D2852" s="7"/>
    </row>
    <row r="2853" spans="4:4" x14ac:dyDescent="0.2">
      <c r="D2853" s="7"/>
    </row>
    <row r="2854" spans="4:4" x14ac:dyDescent="0.2">
      <c r="D2854" s="7"/>
    </row>
    <row r="2855" spans="4:4" x14ac:dyDescent="0.2">
      <c r="D2855" s="7"/>
    </row>
    <row r="2856" spans="4:4" x14ac:dyDescent="0.2">
      <c r="D2856" s="7"/>
    </row>
    <row r="2857" spans="4:4" x14ac:dyDescent="0.2">
      <c r="D2857" s="7"/>
    </row>
    <row r="2858" spans="4:4" x14ac:dyDescent="0.2">
      <c r="D2858" s="7"/>
    </row>
    <row r="2859" spans="4:4" x14ac:dyDescent="0.2">
      <c r="D2859" s="7"/>
    </row>
    <row r="2860" spans="4:4" x14ac:dyDescent="0.2">
      <c r="D2860" s="7"/>
    </row>
    <row r="2861" spans="4:4" x14ac:dyDescent="0.2">
      <c r="D2861" s="7"/>
    </row>
    <row r="2862" spans="4:4" x14ac:dyDescent="0.2">
      <c r="D2862" s="7"/>
    </row>
    <row r="2863" spans="4:4" x14ac:dyDescent="0.2">
      <c r="D2863" s="7"/>
    </row>
    <row r="2864" spans="4:4" x14ac:dyDescent="0.2">
      <c r="D2864" s="7"/>
    </row>
    <row r="2865" spans="4:4" x14ac:dyDescent="0.2">
      <c r="D2865" s="7"/>
    </row>
    <row r="2866" spans="4:4" x14ac:dyDescent="0.2">
      <c r="D2866" s="7"/>
    </row>
    <row r="2867" spans="4:4" x14ac:dyDescent="0.2">
      <c r="D2867" s="7"/>
    </row>
    <row r="2868" spans="4:4" x14ac:dyDescent="0.2">
      <c r="D2868" s="7"/>
    </row>
    <row r="2869" spans="4:4" x14ac:dyDescent="0.2">
      <c r="D2869" s="7"/>
    </row>
    <row r="2870" spans="4:4" x14ac:dyDescent="0.2">
      <c r="D2870" s="7"/>
    </row>
    <row r="2871" spans="4:4" x14ac:dyDescent="0.2">
      <c r="D2871" s="7"/>
    </row>
    <row r="2872" spans="4:4" x14ac:dyDescent="0.2">
      <c r="D2872" s="7"/>
    </row>
    <row r="2873" spans="4:4" x14ac:dyDescent="0.2">
      <c r="D2873" s="7"/>
    </row>
    <row r="2874" spans="4:4" x14ac:dyDescent="0.2">
      <c r="D2874" s="7"/>
    </row>
    <row r="2875" spans="4:4" x14ac:dyDescent="0.2">
      <c r="D2875" s="7"/>
    </row>
    <row r="2876" spans="4:4" x14ac:dyDescent="0.2">
      <c r="D2876" s="7"/>
    </row>
    <row r="2877" spans="4:4" x14ac:dyDescent="0.2">
      <c r="D2877" s="7"/>
    </row>
    <row r="2878" spans="4:4" x14ac:dyDescent="0.2">
      <c r="D2878" s="7"/>
    </row>
    <row r="2879" spans="4:4" x14ac:dyDescent="0.2">
      <c r="D2879" s="7"/>
    </row>
    <row r="2880" spans="4:4" x14ac:dyDescent="0.2">
      <c r="D2880" s="7"/>
    </row>
    <row r="2881" spans="4:4" x14ac:dyDescent="0.2">
      <c r="D2881" s="7"/>
    </row>
    <row r="2882" spans="4:4" x14ac:dyDescent="0.2">
      <c r="D2882" s="7"/>
    </row>
    <row r="2883" spans="4:4" x14ac:dyDescent="0.2">
      <c r="D2883" s="7"/>
    </row>
    <row r="2884" spans="4:4" x14ac:dyDescent="0.2">
      <c r="D2884" s="7"/>
    </row>
    <row r="2885" spans="4:4" x14ac:dyDescent="0.2">
      <c r="D2885" s="7"/>
    </row>
    <row r="2886" spans="4:4" x14ac:dyDescent="0.2">
      <c r="D2886" s="7"/>
    </row>
    <row r="2887" spans="4:4" x14ac:dyDescent="0.2">
      <c r="D2887" s="7"/>
    </row>
    <row r="2888" spans="4:4" x14ac:dyDescent="0.2">
      <c r="D2888" s="7"/>
    </row>
    <row r="2889" spans="4:4" x14ac:dyDescent="0.2">
      <c r="D2889" s="7"/>
    </row>
    <row r="2890" spans="4:4" x14ac:dyDescent="0.2">
      <c r="D2890" s="7"/>
    </row>
    <row r="2891" spans="4:4" x14ac:dyDescent="0.2">
      <c r="D2891" s="7"/>
    </row>
    <row r="2892" spans="4:4" x14ac:dyDescent="0.2">
      <c r="D2892" s="7"/>
    </row>
    <row r="2893" spans="4:4" x14ac:dyDescent="0.2">
      <c r="D2893" s="7"/>
    </row>
    <row r="2894" spans="4:4" x14ac:dyDescent="0.2">
      <c r="D2894" s="7"/>
    </row>
    <row r="2895" spans="4:4" x14ac:dyDescent="0.2">
      <c r="D2895" s="7"/>
    </row>
    <row r="2896" spans="4:4" x14ac:dyDescent="0.2">
      <c r="D2896" s="7"/>
    </row>
    <row r="2897" spans="4:4" x14ac:dyDescent="0.2">
      <c r="D2897" s="7"/>
    </row>
    <row r="2898" spans="4:4" x14ac:dyDescent="0.2">
      <c r="D2898" s="7"/>
    </row>
    <row r="2899" spans="4:4" x14ac:dyDescent="0.2">
      <c r="D2899" s="7"/>
    </row>
    <row r="2900" spans="4:4" x14ac:dyDescent="0.2">
      <c r="D2900" s="7"/>
    </row>
    <row r="2901" spans="4:4" x14ac:dyDescent="0.2">
      <c r="D2901" s="7"/>
    </row>
    <row r="2902" spans="4:4" x14ac:dyDescent="0.2">
      <c r="D2902" s="7"/>
    </row>
    <row r="2903" spans="4:4" x14ac:dyDescent="0.2">
      <c r="D2903" s="7"/>
    </row>
    <row r="2904" spans="4:4" x14ac:dyDescent="0.2">
      <c r="D2904" s="7"/>
    </row>
    <row r="2905" spans="4:4" x14ac:dyDescent="0.2">
      <c r="D2905" s="7"/>
    </row>
    <row r="2906" spans="4:4" x14ac:dyDescent="0.2">
      <c r="D2906" s="7"/>
    </row>
    <row r="2907" spans="4:4" x14ac:dyDescent="0.2">
      <c r="D2907" s="7"/>
    </row>
    <row r="2908" spans="4:4" x14ac:dyDescent="0.2">
      <c r="D2908" s="7"/>
    </row>
    <row r="2909" spans="4:4" x14ac:dyDescent="0.2">
      <c r="D2909" s="7"/>
    </row>
    <row r="2910" spans="4:4" x14ac:dyDescent="0.2">
      <c r="D2910" s="7"/>
    </row>
    <row r="2911" spans="4:4" x14ac:dyDescent="0.2">
      <c r="D2911" s="7"/>
    </row>
    <row r="2912" spans="4:4" x14ac:dyDescent="0.2">
      <c r="D2912" s="7"/>
    </row>
    <row r="2913" spans="4:4" x14ac:dyDescent="0.2">
      <c r="D2913" s="7"/>
    </row>
    <row r="2914" spans="4:4" x14ac:dyDescent="0.2">
      <c r="D2914" s="7"/>
    </row>
    <row r="2915" spans="4:4" x14ac:dyDescent="0.2">
      <c r="D2915" s="7"/>
    </row>
    <row r="2916" spans="4:4" x14ac:dyDescent="0.2">
      <c r="D2916" s="7"/>
    </row>
    <row r="2917" spans="4:4" x14ac:dyDescent="0.2">
      <c r="D2917" s="7"/>
    </row>
    <row r="2918" spans="4:4" x14ac:dyDescent="0.2">
      <c r="D2918" s="7"/>
    </row>
    <row r="2919" spans="4:4" x14ac:dyDescent="0.2">
      <c r="D2919" s="7"/>
    </row>
    <row r="2920" spans="4:4" x14ac:dyDescent="0.2">
      <c r="D2920" s="7"/>
    </row>
    <row r="2921" spans="4:4" x14ac:dyDescent="0.2">
      <c r="D2921" s="7"/>
    </row>
    <row r="2922" spans="4:4" x14ac:dyDescent="0.2">
      <c r="D2922" s="7"/>
    </row>
    <row r="2923" spans="4:4" x14ac:dyDescent="0.2">
      <c r="D2923" s="7"/>
    </row>
    <row r="2924" spans="4:4" x14ac:dyDescent="0.2">
      <c r="D2924" s="7"/>
    </row>
    <row r="2925" spans="4:4" x14ac:dyDescent="0.2">
      <c r="D2925" s="7"/>
    </row>
    <row r="2926" spans="4:4" x14ac:dyDescent="0.2">
      <c r="D2926" s="7"/>
    </row>
    <row r="2927" spans="4:4" x14ac:dyDescent="0.2">
      <c r="D2927" s="7"/>
    </row>
    <row r="2928" spans="4:4" x14ac:dyDescent="0.2">
      <c r="D2928" s="7"/>
    </row>
    <row r="2929" spans="4:4" x14ac:dyDescent="0.2">
      <c r="D2929" s="7"/>
    </row>
    <row r="2930" spans="4:4" x14ac:dyDescent="0.2">
      <c r="D2930" s="7"/>
    </row>
    <row r="2931" spans="4:4" x14ac:dyDescent="0.2">
      <c r="D2931" s="7"/>
    </row>
    <row r="2932" spans="4:4" x14ac:dyDescent="0.2">
      <c r="D2932" s="7"/>
    </row>
    <row r="2933" spans="4:4" x14ac:dyDescent="0.2">
      <c r="D2933" s="7"/>
    </row>
    <row r="2934" spans="4:4" x14ac:dyDescent="0.2">
      <c r="D2934" s="7"/>
    </row>
    <row r="2935" spans="4:4" x14ac:dyDescent="0.2">
      <c r="D2935" s="7"/>
    </row>
    <row r="2936" spans="4:4" x14ac:dyDescent="0.2">
      <c r="D2936" s="7"/>
    </row>
    <row r="2937" spans="4:4" x14ac:dyDescent="0.2">
      <c r="D2937" s="7"/>
    </row>
    <row r="2938" spans="4:4" x14ac:dyDescent="0.2">
      <c r="D2938" s="7"/>
    </row>
    <row r="2939" spans="4:4" x14ac:dyDescent="0.2">
      <c r="D2939" s="7"/>
    </row>
    <row r="2940" spans="4:4" x14ac:dyDescent="0.2">
      <c r="D2940" s="7"/>
    </row>
    <row r="2941" spans="4:4" x14ac:dyDescent="0.2">
      <c r="D2941" s="7"/>
    </row>
    <row r="2942" spans="4:4" x14ac:dyDescent="0.2">
      <c r="D2942" s="7"/>
    </row>
    <row r="2943" spans="4:4" x14ac:dyDescent="0.2">
      <c r="D2943" s="7"/>
    </row>
    <row r="2944" spans="4:4" x14ac:dyDescent="0.2">
      <c r="D2944" s="7"/>
    </row>
    <row r="2945" spans="4:4" x14ac:dyDescent="0.2">
      <c r="D2945" s="7"/>
    </row>
    <row r="2946" spans="4:4" x14ac:dyDescent="0.2">
      <c r="D2946" s="7"/>
    </row>
    <row r="2947" spans="4:4" x14ac:dyDescent="0.2">
      <c r="D2947" s="7"/>
    </row>
    <row r="2948" spans="4:4" x14ac:dyDescent="0.2">
      <c r="D2948" s="7"/>
    </row>
    <row r="2949" spans="4:4" x14ac:dyDescent="0.2">
      <c r="D2949" s="7"/>
    </row>
    <row r="2950" spans="4:4" x14ac:dyDescent="0.2">
      <c r="D2950" s="7"/>
    </row>
    <row r="2951" spans="4:4" x14ac:dyDescent="0.2">
      <c r="D2951" s="7"/>
    </row>
    <row r="2952" spans="4:4" x14ac:dyDescent="0.2">
      <c r="D2952" s="7"/>
    </row>
    <row r="2953" spans="4:4" x14ac:dyDescent="0.2">
      <c r="D2953" s="7"/>
    </row>
    <row r="2954" spans="4:4" x14ac:dyDescent="0.2">
      <c r="D2954" s="7"/>
    </row>
    <row r="2955" spans="4:4" x14ac:dyDescent="0.2">
      <c r="D2955" s="7"/>
    </row>
    <row r="2956" spans="4:4" x14ac:dyDescent="0.2">
      <c r="D2956" s="7"/>
    </row>
    <row r="2957" spans="4:4" x14ac:dyDescent="0.2">
      <c r="D2957" s="7"/>
    </row>
    <row r="2958" spans="4:4" x14ac:dyDescent="0.2">
      <c r="D2958" s="7"/>
    </row>
    <row r="2959" spans="4:4" x14ac:dyDescent="0.2">
      <c r="D2959" s="7"/>
    </row>
    <row r="2960" spans="4:4" x14ac:dyDescent="0.2">
      <c r="D2960" s="7"/>
    </row>
    <row r="2961" spans="4:4" x14ac:dyDescent="0.2">
      <c r="D2961" s="7"/>
    </row>
    <row r="2962" spans="4:4" x14ac:dyDescent="0.2">
      <c r="D2962" s="7"/>
    </row>
    <row r="2963" spans="4:4" x14ac:dyDescent="0.2">
      <c r="D2963" s="7"/>
    </row>
    <row r="2964" spans="4:4" x14ac:dyDescent="0.2">
      <c r="D2964" s="7"/>
    </row>
    <row r="2965" spans="4:4" x14ac:dyDescent="0.2">
      <c r="D2965" s="7"/>
    </row>
    <row r="2966" spans="4:4" x14ac:dyDescent="0.2">
      <c r="D2966" s="7"/>
    </row>
    <row r="2967" spans="4:4" x14ac:dyDescent="0.2">
      <c r="D2967" s="7"/>
    </row>
    <row r="2968" spans="4:4" x14ac:dyDescent="0.2">
      <c r="D2968" s="7"/>
    </row>
    <row r="2969" spans="4:4" x14ac:dyDescent="0.2">
      <c r="D2969" s="7"/>
    </row>
    <row r="2970" spans="4:4" x14ac:dyDescent="0.2">
      <c r="D2970" s="7"/>
    </row>
    <row r="2971" spans="4:4" x14ac:dyDescent="0.2">
      <c r="D2971" s="7"/>
    </row>
    <row r="2972" spans="4:4" x14ac:dyDescent="0.2">
      <c r="D2972" s="7"/>
    </row>
    <row r="2973" spans="4:4" x14ac:dyDescent="0.2">
      <c r="D2973" s="7"/>
    </row>
    <row r="2974" spans="4:4" x14ac:dyDescent="0.2">
      <c r="D2974" s="7"/>
    </row>
    <row r="2975" spans="4:4" x14ac:dyDescent="0.2">
      <c r="D2975" s="7"/>
    </row>
    <row r="2976" spans="4:4" x14ac:dyDescent="0.2">
      <c r="D2976" s="7"/>
    </row>
    <row r="2977" spans="4:4" x14ac:dyDescent="0.2">
      <c r="D2977" s="7"/>
    </row>
    <row r="2978" spans="4:4" x14ac:dyDescent="0.2">
      <c r="D2978" s="7"/>
    </row>
    <row r="2979" spans="4:4" x14ac:dyDescent="0.2">
      <c r="D2979" s="7"/>
    </row>
    <row r="2980" spans="4:4" x14ac:dyDescent="0.2">
      <c r="D2980" s="7"/>
    </row>
    <row r="2981" spans="4:4" x14ac:dyDescent="0.2">
      <c r="D2981" s="7"/>
    </row>
    <row r="2982" spans="4:4" x14ac:dyDescent="0.2">
      <c r="D2982" s="7"/>
    </row>
    <row r="2983" spans="4:4" x14ac:dyDescent="0.2">
      <c r="D2983" s="7"/>
    </row>
    <row r="2984" spans="4:4" x14ac:dyDescent="0.2">
      <c r="D2984" s="7"/>
    </row>
    <row r="2985" spans="4:4" x14ac:dyDescent="0.2">
      <c r="D2985" s="7"/>
    </row>
    <row r="2986" spans="4:4" x14ac:dyDescent="0.2">
      <c r="D2986" s="7"/>
    </row>
    <row r="2987" spans="4:4" x14ac:dyDescent="0.2">
      <c r="D2987" s="7"/>
    </row>
    <row r="2988" spans="4:4" x14ac:dyDescent="0.2">
      <c r="D2988" s="7"/>
    </row>
    <row r="2989" spans="4:4" x14ac:dyDescent="0.2">
      <c r="D2989" s="7"/>
    </row>
    <row r="2990" spans="4:4" x14ac:dyDescent="0.2">
      <c r="D2990" s="7"/>
    </row>
    <row r="2991" spans="4:4" x14ac:dyDescent="0.2">
      <c r="D2991" s="7"/>
    </row>
    <row r="2992" spans="4:4" x14ac:dyDescent="0.2">
      <c r="D2992" s="7"/>
    </row>
    <row r="2993" spans="4:4" x14ac:dyDescent="0.2">
      <c r="D2993" s="7"/>
    </row>
    <row r="2994" spans="4:4" x14ac:dyDescent="0.2">
      <c r="D2994" s="7"/>
    </row>
    <row r="2995" spans="4:4" x14ac:dyDescent="0.2">
      <c r="D2995" s="7"/>
    </row>
    <row r="2996" spans="4:4" x14ac:dyDescent="0.2">
      <c r="D2996" s="7"/>
    </row>
    <row r="2997" spans="4:4" x14ac:dyDescent="0.2">
      <c r="D2997" s="7"/>
    </row>
    <row r="2998" spans="4:4" x14ac:dyDescent="0.2">
      <c r="D2998" s="7"/>
    </row>
    <row r="2999" spans="4:4" x14ac:dyDescent="0.2">
      <c r="D2999" s="7"/>
    </row>
    <row r="3000" spans="4:4" x14ac:dyDescent="0.2">
      <c r="D3000" s="7"/>
    </row>
    <row r="3001" spans="4:4" x14ac:dyDescent="0.2">
      <c r="D3001" s="7"/>
    </row>
    <row r="3002" spans="4:4" x14ac:dyDescent="0.2">
      <c r="D3002" s="7"/>
    </row>
    <row r="3003" spans="4:4" x14ac:dyDescent="0.2">
      <c r="D3003" s="7"/>
    </row>
    <row r="3004" spans="4:4" x14ac:dyDescent="0.2">
      <c r="D3004" s="7"/>
    </row>
    <row r="3005" spans="4:4" x14ac:dyDescent="0.2">
      <c r="D3005" s="7"/>
    </row>
    <row r="3006" spans="4:4" x14ac:dyDescent="0.2">
      <c r="D3006" s="7"/>
    </row>
    <row r="3007" spans="4:4" x14ac:dyDescent="0.2">
      <c r="D3007" s="7"/>
    </row>
  </sheetData>
  <sortState xmlns:xlrd2="http://schemas.microsoft.com/office/spreadsheetml/2017/richdata2" ref="D10:E3007">
    <sortCondition descending="1" ref="D10:D3007"/>
  </sortState>
  <mergeCells count="1">
    <mergeCell ref="D8:H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522ED-3BB2-0244-BED4-E7BE7D9E1E09}">
  <sheetPr codeName="Sheet1"/>
  <dimension ref="A7:O49"/>
  <sheetViews>
    <sheetView workbookViewId="0">
      <selection activeCell="D44" sqref="D44"/>
    </sheetView>
  </sheetViews>
  <sheetFormatPr baseColWidth="10" defaultColWidth="11.1640625" defaultRowHeight="16" x14ac:dyDescent="0.2"/>
  <cols>
    <col min="1" max="1" width="19.1640625" customWidth="1"/>
  </cols>
  <sheetData>
    <row r="7" spans="1:15" x14ac:dyDescent="0.2">
      <c r="D7" s="37" t="s">
        <v>14</v>
      </c>
      <c r="E7" s="37"/>
      <c r="F7" s="37"/>
      <c r="G7" s="37"/>
      <c r="H7" s="37"/>
      <c r="I7" s="37"/>
      <c r="K7" s="38" t="s">
        <v>16</v>
      </c>
      <c r="L7" s="38"/>
      <c r="M7" s="38"/>
      <c r="N7" s="38"/>
      <c r="O7" s="38"/>
    </row>
    <row r="8" spans="1:15" x14ac:dyDescent="0.2">
      <c r="A8" t="s">
        <v>0</v>
      </c>
      <c r="D8" s="36" t="s">
        <v>10</v>
      </c>
      <c r="E8" s="36"/>
      <c r="F8" s="36"/>
      <c r="G8" s="36"/>
      <c r="H8" s="36"/>
      <c r="I8" s="36"/>
      <c r="K8" s="5"/>
      <c r="L8" s="5"/>
      <c r="M8" s="5"/>
      <c r="N8" s="5"/>
      <c r="O8" s="5"/>
    </row>
    <row r="9" spans="1:15" x14ac:dyDescent="0.2">
      <c r="A9" t="s">
        <v>6</v>
      </c>
      <c r="B9">
        <f>'Cal. of Appropriate Inputs'!B9</f>
        <v>166.03</v>
      </c>
      <c r="D9" s="25">
        <v>0</v>
      </c>
      <c r="E9" s="25">
        <v>1</v>
      </c>
      <c r="F9" s="25">
        <v>2</v>
      </c>
      <c r="G9" s="25">
        <v>3</v>
      </c>
      <c r="H9" s="25">
        <v>4</v>
      </c>
      <c r="I9" s="25">
        <v>5</v>
      </c>
      <c r="K9" s="5"/>
      <c r="L9" s="5" t="s">
        <v>17</v>
      </c>
      <c r="M9" s="5">
        <f>(LN(S/K)+(rf-q+(sigma^2)/2)*T)/(sigma*SQRT(T))</f>
        <v>-0.25041983067573537</v>
      </c>
      <c r="N9" s="5"/>
      <c r="O9" s="5"/>
    </row>
    <row r="10" spans="1:15" x14ac:dyDescent="0.2">
      <c r="A10" t="s">
        <v>1</v>
      </c>
      <c r="B10">
        <f>'Cal. of Appropriate Inputs'!B12</f>
        <v>0.14285714285714285</v>
      </c>
      <c r="D10" s="20"/>
      <c r="E10" s="20"/>
      <c r="F10" s="20"/>
      <c r="G10" s="20"/>
      <c r="H10" s="20"/>
      <c r="I10" s="24">
        <f>H11*B18</f>
        <v>199.69824613199472</v>
      </c>
      <c r="K10" s="5"/>
      <c r="L10" s="5" t="s">
        <v>18</v>
      </c>
      <c r="M10" s="5">
        <f>d_1-sigma*SQRT(T)</f>
        <v>-0.3329928851658594</v>
      </c>
      <c r="N10" s="5"/>
      <c r="O10" s="5"/>
    </row>
    <row r="11" spans="1:15" x14ac:dyDescent="0.2">
      <c r="A11" t="s">
        <v>2</v>
      </c>
      <c r="B11">
        <f>'Cal. of Appropriate Inputs'!B13</f>
        <v>170</v>
      </c>
      <c r="D11" s="20"/>
      <c r="E11" s="20"/>
      <c r="F11" s="20"/>
      <c r="G11" s="20"/>
      <c r="H11" s="24">
        <f>G12*B18</f>
        <v>192.45833048433491</v>
      </c>
      <c r="I11" s="24"/>
      <c r="K11" s="5"/>
      <c r="L11" s="39" t="s">
        <v>19</v>
      </c>
      <c r="M11" s="40">
        <f>(S*EXP(-q*T)*_xlfn.NORM.DIST(d_1,0,1,TRUE))-(K*EXP(-rf*T)*_xlfn.NORM.DIST(d_2,0,1,TRUE))</f>
        <v>3.7412454718510801</v>
      </c>
      <c r="N11" s="5"/>
      <c r="O11" s="5"/>
    </row>
    <row r="12" spans="1:15" x14ac:dyDescent="0.2">
      <c r="A12" t="s">
        <v>9</v>
      </c>
      <c r="B12" s="4">
        <f>'Cal. of Appropriate Inputs'!B16</f>
        <v>0.21846776717585359</v>
      </c>
      <c r="D12" s="20"/>
      <c r="E12" s="20"/>
      <c r="F12" s="20"/>
      <c r="G12" s="24">
        <f>F13*B18</f>
        <v>185.48089274822664</v>
      </c>
      <c r="H12" s="24"/>
      <c r="I12" s="24">
        <f>H13*B18</f>
        <v>185.48089274822661</v>
      </c>
      <c r="K12" s="5"/>
      <c r="L12" s="39"/>
      <c r="M12" s="40"/>
      <c r="N12" s="5"/>
      <c r="O12" s="5"/>
    </row>
    <row r="13" spans="1:15" x14ac:dyDescent="0.2">
      <c r="A13" t="s">
        <v>3</v>
      </c>
      <c r="B13" s="4">
        <f>'Cal. of Appropriate Inputs'!B17</f>
        <v>2.3999999999999998E-3</v>
      </c>
      <c r="D13" s="20"/>
      <c r="E13" s="20"/>
      <c r="F13" s="24">
        <f>E14*B18</f>
        <v>178.75641697660569</v>
      </c>
      <c r="G13" s="24"/>
      <c r="H13" s="24">
        <f>G12*B19</f>
        <v>178.75641697660566</v>
      </c>
      <c r="I13" s="24"/>
      <c r="K13" s="5"/>
      <c r="L13" s="39"/>
      <c r="M13" s="40"/>
      <c r="N13" s="5"/>
      <c r="O13" s="5"/>
    </row>
    <row r="14" spans="1:15" x14ac:dyDescent="0.2">
      <c r="A14" t="s">
        <v>4</v>
      </c>
      <c r="B14">
        <f>'Cal. of Appropriate Inputs'!B18</f>
        <v>5</v>
      </c>
      <c r="D14" s="20"/>
      <c r="E14" s="24">
        <f>D15*B18</f>
        <v>172.27573221619417</v>
      </c>
      <c r="F14" s="24"/>
      <c r="G14" s="24">
        <f>F13*B19</f>
        <v>172.27573221619417</v>
      </c>
      <c r="H14" s="24"/>
      <c r="I14" s="24">
        <f>H13*B19</f>
        <v>172.27573221619414</v>
      </c>
    </row>
    <row r="15" spans="1:15" x14ac:dyDescent="0.2">
      <c r="A15" t="s">
        <v>5</v>
      </c>
      <c r="B15">
        <f>B10/B14</f>
        <v>2.8571428571428571E-2</v>
      </c>
      <c r="D15" s="20">
        <f>S</f>
        <v>166.03</v>
      </c>
      <c r="E15" s="24"/>
      <c r="F15" s="24">
        <f>E16*B18</f>
        <v>166.03</v>
      </c>
      <c r="G15" s="24"/>
      <c r="H15" s="24">
        <f>G14*B19</f>
        <v>166.02999999999997</v>
      </c>
      <c r="I15" s="24"/>
    </row>
    <row r="16" spans="1:15" x14ac:dyDescent="0.2">
      <c r="A16" t="s">
        <v>15</v>
      </c>
      <c r="B16" s="4">
        <f>'Cal. of Appropriate Inputs'!B20</f>
        <v>5.5999999999999999E-3</v>
      </c>
      <c r="D16" s="20"/>
      <c r="E16" s="24">
        <f>D15*B19</f>
        <v>160.0107022932668</v>
      </c>
      <c r="F16" s="24"/>
      <c r="G16" s="24">
        <f>F17*B18</f>
        <v>160.0107022932668</v>
      </c>
      <c r="H16" s="24"/>
      <c r="I16" s="24">
        <f>H15*B19</f>
        <v>160.01070229326677</v>
      </c>
    </row>
    <row r="17" spans="1:12" x14ac:dyDescent="0.2">
      <c r="D17" s="20"/>
      <c r="E17" s="20"/>
      <c r="F17" s="24">
        <f>E16*B19</f>
        <v>154.20962987643472</v>
      </c>
      <c r="G17" s="24"/>
      <c r="H17" s="24">
        <f>G16*B19</f>
        <v>154.20962987643472</v>
      </c>
      <c r="I17" s="24"/>
    </row>
    <row r="18" spans="1:12" x14ac:dyDescent="0.2">
      <c r="A18" t="s">
        <v>7</v>
      </c>
      <c r="B18" s="24">
        <f>EXP(B12*SQRT(B15))</f>
        <v>1.0376180944178413</v>
      </c>
      <c r="D18" s="20"/>
      <c r="E18" s="20"/>
      <c r="F18" s="20"/>
      <c r="G18" s="24">
        <f>F17*B19</f>
        <v>148.61887114926856</v>
      </c>
      <c r="H18" s="24"/>
      <c r="I18" s="24">
        <f>H17*B19</f>
        <v>148.61887114926856</v>
      </c>
    </row>
    <row r="19" spans="1:12" x14ac:dyDescent="0.2">
      <c r="A19" t="s">
        <v>8</v>
      </c>
      <c r="B19" s="24">
        <f>1/B18</f>
        <v>0.96374572241924228</v>
      </c>
      <c r="D19" s="20"/>
      <c r="E19" s="20"/>
      <c r="F19" s="20"/>
      <c r="G19" s="20"/>
      <c r="H19" s="24">
        <f>G18*B19</f>
        <v>143.23080134088411</v>
      </c>
      <c r="I19" s="24"/>
      <c r="L19" s="8"/>
    </row>
    <row r="20" spans="1:12" x14ac:dyDescent="0.2">
      <c r="A20" t="s">
        <v>11</v>
      </c>
      <c r="B20" s="24">
        <f>(EXP(B13*B15)-B19)/(B18-B19)</f>
        <v>0.49169737450818735</v>
      </c>
      <c r="D20" s="20"/>
      <c r="E20" s="20"/>
      <c r="F20" s="20"/>
      <c r="G20" s="20"/>
      <c r="H20" s="20"/>
      <c r="I20" s="24">
        <f>H19*B19</f>
        <v>138.03807211095733</v>
      </c>
    </row>
    <row r="21" spans="1:12" x14ac:dyDescent="0.2">
      <c r="A21" t="s">
        <v>12</v>
      </c>
      <c r="B21" s="24">
        <f>1-$B$20</f>
        <v>0.5083026254918126</v>
      </c>
      <c r="D21" s="20"/>
      <c r="E21" s="20"/>
      <c r="F21" s="20"/>
      <c r="G21" s="20"/>
      <c r="H21" s="20"/>
      <c r="I21" s="20"/>
    </row>
    <row r="22" spans="1:12" x14ac:dyDescent="0.2">
      <c r="D22" s="36" t="s">
        <v>31</v>
      </c>
      <c r="E22" s="36"/>
      <c r="F22" s="36"/>
      <c r="G22" s="36"/>
      <c r="H22" s="36"/>
      <c r="I22" s="36"/>
    </row>
    <row r="23" spans="1:12" x14ac:dyDescent="0.2">
      <c r="D23" s="25">
        <v>0</v>
      </c>
      <c r="E23" s="25">
        <v>1</v>
      </c>
      <c r="F23" s="25">
        <v>2</v>
      </c>
      <c r="G23" s="25">
        <v>3</v>
      </c>
      <c r="H23" s="25">
        <v>4</v>
      </c>
      <c r="I23" s="25">
        <v>5</v>
      </c>
    </row>
    <row r="24" spans="1:12" x14ac:dyDescent="0.2">
      <c r="D24" s="20"/>
      <c r="E24" s="20"/>
      <c r="F24" s="20"/>
      <c r="G24" s="20"/>
      <c r="H24" s="20"/>
      <c r="I24" s="24">
        <f>MAX(0,I10-B11)</f>
        <v>29.698246131994722</v>
      </c>
    </row>
    <row r="25" spans="1:12" x14ac:dyDescent="0.2">
      <c r="D25" s="20"/>
      <c r="E25" s="20"/>
      <c r="F25" s="20"/>
      <c r="G25" s="20"/>
      <c r="H25" s="24">
        <f>MAX((I24*p+I26*pnot)*EXP((-1)*rf*dt),H11-K)</f>
        <v>22.469987227527703</v>
      </c>
      <c r="I25" s="24"/>
    </row>
    <row r="26" spans="1:12" x14ac:dyDescent="0.2">
      <c r="D26" s="20"/>
      <c r="E26" s="20"/>
      <c r="F26" s="20"/>
      <c r="G26" s="24">
        <f>MAX((H25*p+H27*pnot)*EXP((-1)*rf*dt),G12-K)</f>
        <v>15.504205435320099</v>
      </c>
      <c r="H26" s="24"/>
      <c r="I26" s="24">
        <f>MAX(0,I12-B11)</f>
        <v>15.480892748226609</v>
      </c>
    </row>
    <row r="27" spans="1:12" x14ac:dyDescent="0.2">
      <c r="D27" s="20"/>
      <c r="E27" s="20"/>
      <c r="F27" s="24">
        <f>MAX((G26*p+G28*pnot)*EXP((-1)*rf*dt),F13-K)</f>
        <v>10.103018834833389</v>
      </c>
      <c r="G27" s="24"/>
      <c r="H27" s="24">
        <f>MAX((I26*p+I28*pnot)*EXP((-1)*rf*dt),H13-K)</f>
        <v>8.7680737197984673</v>
      </c>
      <c r="I27" s="24"/>
    </row>
    <row r="28" spans="1:12" x14ac:dyDescent="0.2">
      <c r="D28" s="20"/>
      <c r="E28" s="24">
        <f>MAX((F27*p+F29*pnot)*EXP((-1)*rf*dt),E14-K)</f>
        <v>6.3288097936974204</v>
      </c>
      <c r="F28" s="24"/>
      <c r="G28" s="24">
        <f>MAX((H27*p+H29*pnot)*EXP((-1)*rf*dt),G14-K)</f>
        <v>4.8796413912644896</v>
      </c>
      <c r="H28" s="24"/>
      <c r="I28" s="24">
        <f>MAX(0,I14-B11)</f>
        <v>2.2757322161941431</v>
      </c>
    </row>
    <row r="29" spans="1:12" x14ac:dyDescent="0.2">
      <c r="D29" s="24">
        <f>MAX((E28*p+E30*pnot)*EXP((-1)*rf*dt),D15-K)</f>
        <v>3.8509301572338202</v>
      </c>
      <c r="E29" s="24"/>
      <c r="F29" s="24">
        <f>MAX((G28*p+G30*pnot)*EXP((-1)*rf*dt),F15-K)</f>
        <v>2.6787505712642066</v>
      </c>
      <c r="G29" s="24"/>
      <c r="H29" s="24">
        <f>MAX((I28*p+I30*pnot)*EXP((-1)*rf*dt),H15-K)</f>
        <v>1.1188948289389125</v>
      </c>
      <c r="I29" s="24"/>
    </row>
    <row r="30" spans="1:12" x14ac:dyDescent="0.2">
      <c r="D30" s="20"/>
      <c r="E30" s="24">
        <f>MAX((F29*p+F31*pnot)*EXP((-1)*rf*dt),E16-K)</f>
        <v>1.4545175131286776</v>
      </c>
      <c r="F30" s="24"/>
      <c r="G30" s="24">
        <f>MAX((H29*p+H31*pnot)*EXP((-1)*rf*dt),G16-K)</f>
        <v>0.55011992593747072</v>
      </c>
      <c r="H30" s="24"/>
      <c r="I30" s="24">
        <f>MAX(0,I16-$B$11)</f>
        <v>0</v>
      </c>
    </row>
    <row r="31" spans="1:12" x14ac:dyDescent="0.2">
      <c r="D31" s="20"/>
      <c r="E31" s="20"/>
      <c r="F31" s="24">
        <f>MAX((G30*p+G32*pnot)*EXP((-1)*rf*dt),F17-K)</f>
        <v>0.27047397582527472</v>
      </c>
      <c r="G31" s="24"/>
      <c r="H31" s="24">
        <f>MAX((I30*p+I32*pnot)*EXP((-1)*rf*dt),H17-K)</f>
        <v>0</v>
      </c>
      <c r="I31" s="24"/>
    </row>
    <row r="32" spans="1:12" x14ac:dyDescent="0.2">
      <c r="D32" s="20"/>
      <c r="E32" s="20"/>
      <c r="F32" s="20"/>
      <c r="G32" s="24">
        <f>MAX((H31*p+H33*pnot)*EXP((-1)*rf*dt),G18-K)</f>
        <v>0</v>
      </c>
      <c r="H32" s="24"/>
      <c r="I32" s="24">
        <f>MAX(0,I18-$B$11)</f>
        <v>0</v>
      </c>
    </row>
    <row r="33" spans="4:9" x14ac:dyDescent="0.2">
      <c r="D33" s="20"/>
      <c r="E33" s="20"/>
      <c r="F33" s="20"/>
      <c r="G33" s="20"/>
      <c r="H33" s="24">
        <f>MAX((I32*p+I34*pnot)*EXP((-1)*rf*dt),H19-K)</f>
        <v>0</v>
      </c>
      <c r="I33" s="24"/>
    </row>
    <row r="34" spans="4:9" x14ac:dyDescent="0.2">
      <c r="D34" s="20"/>
      <c r="E34" s="20"/>
      <c r="F34" s="20"/>
      <c r="G34" s="20"/>
      <c r="H34" s="20"/>
      <c r="I34" s="24">
        <f>MAX(0,I20-$B$11)</f>
        <v>0</v>
      </c>
    </row>
    <row r="35" spans="4:9" x14ac:dyDescent="0.2">
      <c r="D35" s="20"/>
      <c r="E35" s="20"/>
      <c r="F35" s="20"/>
      <c r="G35" s="20"/>
      <c r="H35" s="20"/>
      <c r="I35" s="20"/>
    </row>
    <row r="37" spans="4:9" x14ac:dyDescent="0.2">
      <c r="D37" s="36" t="s">
        <v>29</v>
      </c>
      <c r="E37" s="36"/>
      <c r="F37" s="36"/>
      <c r="G37" s="36"/>
      <c r="H37" s="36"/>
      <c r="I37" s="36"/>
    </row>
    <row r="38" spans="4:9" x14ac:dyDescent="0.2">
      <c r="D38" s="25">
        <v>0</v>
      </c>
      <c r="E38" s="25">
        <v>1</v>
      </c>
      <c r="F38" s="25">
        <v>2</v>
      </c>
      <c r="G38" s="25">
        <v>3</v>
      </c>
      <c r="H38" s="25">
        <v>4</v>
      </c>
      <c r="I38" s="25">
        <v>5</v>
      </c>
    </row>
    <row r="39" spans="4:9" x14ac:dyDescent="0.2">
      <c r="D39" s="20"/>
      <c r="E39" s="20"/>
      <c r="F39" s="20"/>
      <c r="G39" s="20"/>
      <c r="H39" s="20"/>
      <c r="I39" s="24">
        <v>0</v>
      </c>
    </row>
    <row r="40" spans="4:9" x14ac:dyDescent="0.2">
      <c r="D40" s="20"/>
      <c r="E40" s="20"/>
      <c r="F40" s="20"/>
      <c r="G40" s="20"/>
      <c r="H40" s="24">
        <f>(I24-I26)/(I10-I12)</f>
        <v>1</v>
      </c>
      <c r="I40" s="24"/>
    </row>
    <row r="41" spans="4:9" x14ac:dyDescent="0.2">
      <c r="D41" s="20"/>
      <c r="E41" s="20"/>
      <c r="F41" s="20"/>
      <c r="G41" s="24">
        <f>(H25-H27)/(H11-H13)</f>
        <v>0.99999999999999933</v>
      </c>
      <c r="H41" s="24"/>
      <c r="I41" s="24">
        <v>0</v>
      </c>
    </row>
    <row r="42" spans="4:9" x14ac:dyDescent="0.2">
      <c r="D42" s="20"/>
      <c r="E42" s="20"/>
      <c r="F42" s="24">
        <f>(G26-G28)/(G12-G14)</f>
        <v>0.8045766666965567</v>
      </c>
      <c r="G42" s="24"/>
      <c r="H42" s="24">
        <f>(I26-I28)/(I12-I14)</f>
        <v>1</v>
      </c>
      <c r="I42" s="24"/>
    </row>
    <row r="43" spans="4:9" x14ac:dyDescent="0.2">
      <c r="D43" s="20"/>
      <c r="E43" s="24">
        <f>(F27-F29)/(F13-F15)</f>
        <v>0.58337458824560184</v>
      </c>
      <c r="F43" s="24"/>
      <c r="G43" s="24">
        <f>(H27-H29)/(H13-H15)</f>
        <v>0.60104732580432041</v>
      </c>
      <c r="H43" s="24"/>
      <c r="I43" s="24">
        <v>0</v>
      </c>
    </row>
    <row r="44" spans="4:9" x14ac:dyDescent="0.2">
      <c r="D44" s="34">
        <f>(E28-E30)/(E14-E16)</f>
        <v>0.39741381074473286</v>
      </c>
      <c r="E44" s="24"/>
      <c r="F44" s="24">
        <f>(G28-G30)/(G14-G16)</f>
        <v>0.3529972199443005</v>
      </c>
      <c r="G44" s="24"/>
      <c r="H44" s="24">
        <f>(I28-I30)/(I14-I16)</f>
        <v>0.1855464055525908</v>
      </c>
      <c r="I44" s="24"/>
    </row>
    <row r="45" spans="4:9" x14ac:dyDescent="0.2">
      <c r="D45" s="20"/>
      <c r="E45" s="24">
        <f>(F29-F31)/(F15-F17)</f>
        <v>0.20373952509640558</v>
      </c>
      <c r="F45" s="24"/>
      <c r="G45" s="24">
        <f>(H29-H31)/(H15-H17)</f>
        <v>9.4658188977371202E-2</v>
      </c>
      <c r="H45" s="24"/>
      <c r="I45" s="24">
        <v>0</v>
      </c>
    </row>
    <row r="46" spans="4:9" x14ac:dyDescent="0.2">
      <c r="D46" s="20"/>
      <c r="E46" s="20"/>
      <c r="F46" s="24">
        <f>(G30-G32)/(G16-G18)</f>
        <v>4.8290737369935458E-2</v>
      </c>
      <c r="G46" s="24"/>
      <c r="H46" s="24">
        <f>(I30-I32)/(I16-I18)</f>
        <v>0</v>
      </c>
      <c r="I46" s="24"/>
    </row>
    <row r="47" spans="4:9" x14ac:dyDescent="0.2">
      <c r="D47" s="20"/>
      <c r="E47" s="20"/>
      <c r="F47" s="20"/>
      <c r="G47" s="24">
        <f>(H31-H33)/(H17-H19)</f>
        <v>0</v>
      </c>
      <c r="H47" s="24"/>
      <c r="I47" s="24">
        <v>0</v>
      </c>
    </row>
    <row r="48" spans="4:9" x14ac:dyDescent="0.2">
      <c r="D48" s="20"/>
      <c r="E48" s="20"/>
      <c r="F48" s="20"/>
      <c r="G48" s="20"/>
      <c r="H48" s="24">
        <f>(I32-I34)/(I18-I20)</f>
        <v>0</v>
      </c>
      <c r="I48" s="24"/>
    </row>
    <row r="49" spans="4:9" x14ac:dyDescent="0.2">
      <c r="D49" s="20"/>
      <c r="E49" s="20"/>
      <c r="F49" s="20"/>
      <c r="G49" s="20"/>
      <c r="H49" s="20"/>
      <c r="I49" s="24">
        <v>0</v>
      </c>
    </row>
  </sheetData>
  <mergeCells count="7">
    <mergeCell ref="D37:I37"/>
    <mergeCell ref="D8:I8"/>
    <mergeCell ref="D22:I22"/>
    <mergeCell ref="D7:I7"/>
    <mergeCell ref="K7:O7"/>
    <mergeCell ref="L11:L13"/>
    <mergeCell ref="M11:M13"/>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59FD8-E05A-4F17-B826-3BB8F33220E9}">
  <dimension ref="A9:H26"/>
  <sheetViews>
    <sheetView workbookViewId="0">
      <selection activeCell="H26" sqref="H26"/>
    </sheetView>
  </sheetViews>
  <sheetFormatPr baseColWidth="10" defaultColWidth="8.83203125" defaultRowHeight="16" x14ac:dyDescent="0.2"/>
  <cols>
    <col min="1" max="1" width="22" bestFit="1" customWidth="1"/>
    <col min="2" max="2" width="10.5" bestFit="1" customWidth="1"/>
    <col min="3" max="3" width="21.1640625" bestFit="1" customWidth="1"/>
    <col min="4" max="4" width="11.83203125" customWidth="1"/>
    <col min="5" max="5" width="21.1640625" bestFit="1" customWidth="1"/>
    <col min="6" max="6" width="2.83203125" customWidth="1"/>
    <col min="7" max="7" width="19.6640625" bestFit="1" customWidth="1"/>
    <col min="8" max="8" width="10.6640625" bestFit="1" customWidth="1"/>
  </cols>
  <sheetData>
    <row r="9" spans="1:2" x14ac:dyDescent="0.2">
      <c r="A9" t="s">
        <v>34</v>
      </c>
      <c r="B9">
        <f>'Cal. of Appropriate Inputs'!B13</f>
        <v>170</v>
      </c>
    </row>
    <row r="10" spans="1:2" x14ac:dyDescent="0.2">
      <c r="A10" t="s">
        <v>35</v>
      </c>
      <c r="B10" s="13">
        <f>'Cal. of Appropriate Inputs'!B16</f>
        <v>0.21846776717585359</v>
      </c>
    </row>
    <row r="11" spans="1:2" x14ac:dyDescent="0.2">
      <c r="A11" t="s">
        <v>36</v>
      </c>
      <c r="B11" s="4">
        <f>'Cal. of Appropriate Inputs'!B17</f>
        <v>2.3999999999999998E-3</v>
      </c>
    </row>
    <row r="12" spans="1:2" x14ac:dyDescent="0.2">
      <c r="A12" t="s">
        <v>37</v>
      </c>
      <c r="B12">
        <f>'Cal. of Appropriate Inputs'!B11</f>
        <v>252</v>
      </c>
    </row>
    <row r="13" spans="1:2" x14ac:dyDescent="0.2">
      <c r="A13" t="s">
        <v>38</v>
      </c>
      <c r="B13" s="30">
        <v>10</v>
      </c>
    </row>
    <row r="14" spans="1:2" x14ac:dyDescent="0.2">
      <c r="A14" t="s">
        <v>39</v>
      </c>
      <c r="B14" s="20">
        <f>B13*100</f>
        <v>1000</v>
      </c>
    </row>
    <row r="15" spans="1:2" x14ac:dyDescent="0.2">
      <c r="A15" t="s">
        <v>33</v>
      </c>
      <c r="B15" s="1">
        <f>'Pricing Engines '!D44</f>
        <v>0.39741381074473286</v>
      </c>
    </row>
    <row r="16" spans="1:2" x14ac:dyDescent="0.2">
      <c r="A16" t="s">
        <v>46</v>
      </c>
      <c r="B16" s="20">
        <f>ROUND(B15*B14,0)</f>
        <v>397</v>
      </c>
    </row>
    <row r="17" spans="1:8" ht="15.5" customHeight="1" x14ac:dyDescent="0.2">
      <c r="C17" s="16"/>
      <c r="D17" s="17"/>
      <c r="E17" s="14"/>
    </row>
    <row r="18" spans="1:8" s="11" customFormat="1" ht="17" x14ac:dyDescent="0.2">
      <c r="A18" s="11" t="s">
        <v>22</v>
      </c>
      <c r="B18" s="12" t="s">
        <v>23</v>
      </c>
      <c r="C18" s="11" t="s">
        <v>42</v>
      </c>
      <c r="D18" s="14" t="s">
        <v>40</v>
      </c>
      <c r="E18" s="16" t="s">
        <v>41</v>
      </c>
      <c r="G18" s="11" t="s">
        <v>43</v>
      </c>
    </row>
    <row r="19" spans="1:8" x14ac:dyDescent="0.2">
      <c r="A19" s="10">
        <v>44530</v>
      </c>
      <c r="B19" s="28">
        <v>166.03</v>
      </c>
      <c r="D19" s="29">
        <v>5.05</v>
      </c>
    </row>
    <row r="20" spans="1:8" x14ac:dyDescent="0.2">
      <c r="A20" s="10">
        <v>44531</v>
      </c>
      <c r="B20" s="28">
        <v>168.31</v>
      </c>
      <c r="C20" s="26">
        <f>((B20-$B$19)*(-1)*$B$16)</f>
        <v>-905.16000000000042</v>
      </c>
      <c r="D20" s="29">
        <v>6.8</v>
      </c>
      <c r="E20" s="26">
        <f>((D20-$D$19)*$B$14)</f>
        <v>1750</v>
      </c>
      <c r="G20" s="27">
        <f>E20+C20</f>
        <v>844.83999999999958</v>
      </c>
    </row>
    <row r="21" spans="1:8" x14ac:dyDescent="0.2">
      <c r="A21" s="10">
        <v>44532</v>
      </c>
      <c r="B21" s="29">
        <v>163.12</v>
      </c>
      <c r="C21" s="26">
        <f t="shared" ref="C21:C24" si="0">((B21-$B$19)*(-1)*$B$16)</f>
        <v>1155.2699999999986</v>
      </c>
      <c r="D21" s="29">
        <v>4.1500000000000004</v>
      </c>
      <c r="E21" s="26">
        <f>((D21-$D$19)*$B$14)</f>
        <v>-899.99999999999943</v>
      </c>
      <c r="G21" s="27">
        <f>E21+C21</f>
        <v>255.26999999999919</v>
      </c>
    </row>
    <row r="22" spans="1:8" x14ac:dyDescent="0.2">
      <c r="A22" s="10">
        <v>44533</v>
      </c>
      <c r="B22" s="29">
        <v>160.88999999999999</v>
      </c>
      <c r="C22" s="26">
        <f t="shared" si="0"/>
        <v>2040.5800000000058</v>
      </c>
      <c r="D22" s="29">
        <v>3.55</v>
      </c>
      <c r="E22" s="26">
        <f>((D22-$D$19)*$B$14)</f>
        <v>-1500</v>
      </c>
      <c r="G22" s="27">
        <f>E22+C22</f>
        <v>540.58000000000584</v>
      </c>
    </row>
    <row r="23" spans="1:8" x14ac:dyDescent="0.2">
      <c r="A23" s="15">
        <v>44536</v>
      </c>
      <c r="B23" s="29">
        <v>165.53</v>
      </c>
      <c r="C23" s="26">
        <f t="shared" si="0"/>
        <v>198.5</v>
      </c>
      <c r="D23" s="29">
        <v>4.75</v>
      </c>
      <c r="E23" s="26">
        <f>((D23-$D$19)*$B$14)</f>
        <v>-299.99999999999983</v>
      </c>
      <c r="G23" s="27">
        <f>E23+C23</f>
        <v>-101.49999999999983</v>
      </c>
    </row>
    <row r="24" spans="1:8" x14ac:dyDescent="0.2">
      <c r="A24" s="15">
        <v>44537</v>
      </c>
      <c r="B24" s="29">
        <v>170.97</v>
      </c>
      <c r="C24" s="26">
        <f t="shared" si="0"/>
        <v>-1961.1799999999992</v>
      </c>
      <c r="D24" s="29">
        <v>7.65</v>
      </c>
      <c r="E24" s="26">
        <f>((D24-$D$19)*$B$14)</f>
        <v>2600.0000000000005</v>
      </c>
      <c r="G24" s="27">
        <f>E24+C24</f>
        <v>638.8200000000013</v>
      </c>
    </row>
    <row r="25" spans="1:8" x14ac:dyDescent="0.2">
      <c r="A25" s="9"/>
      <c r="B25" s="9"/>
    </row>
    <row r="26" spans="1:8" x14ac:dyDescent="0.2">
      <c r="G26" s="27">
        <f>_xlfn.STDEV.P(G20:G24)</f>
        <v>328.87440316327502</v>
      </c>
      <c r="H26" t="s">
        <v>47</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3282D-BA5E-4EE3-8F15-316B6519A4DF}">
  <dimension ref="A9:H23"/>
  <sheetViews>
    <sheetView workbookViewId="0">
      <selection activeCell="H19" sqref="H19"/>
    </sheetView>
  </sheetViews>
  <sheetFormatPr baseColWidth="10" defaultColWidth="11.1640625" defaultRowHeight="16" x14ac:dyDescent="0.2"/>
  <cols>
    <col min="1" max="1" width="19.1640625" customWidth="1"/>
    <col min="5" max="5" width="23.6640625" bestFit="1" customWidth="1"/>
  </cols>
  <sheetData>
    <row r="9" spans="1:8" x14ac:dyDescent="0.2">
      <c r="D9" s="38" t="s">
        <v>16</v>
      </c>
      <c r="E9" s="38"/>
      <c r="F9" s="38"/>
      <c r="G9" s="38"/>
      <c r="H9" s="38"/>
    </row>
    <row r="10" spans="1:8" x14ac:dyDescent="0.2">
      <c r="A10" t="s">
        <v>0</v>
      </c>
      <c r="D10" s="5"/>
      <c r="E10" s="5"/>
      <c r="F10" s="5"/>
      <c r="G10" s="5"/>
      <c r="H10" s="5"/>
    </row>
    <row r="11" spans="1:8" x14ac:dyDescent="0.2">
      <c r="A11" t="s">
        <v>6</v>
      </c>
      <c r="B11">
        <f>'Cal. of Appropriate Inputs'!B9</f>
        <v>166.03</v>
      </c>
      <c r="D11" s="5"/>
      <c r="E11" s="5" t="s">
        <v>17</v>
      </c>
      <c r="F11" s="5">
        <f>(LN(S/K)+(rf-q+(sigma^2)/2)*T)/(sigma*SQRT(T))</f>
        <v>-0.18287742169767099</v>
      </c>
      <c r="G11" s="5"/>
      <c r="H11" s="5"/>
    </row>
    <row r="12" spans="1:8" x14ac:dyDescent="0.2">
      <c r="A12" t="s">
        <v>1</v>
      </c>
      <c r="B12">
        <f>'Cal. of Appropriate Inputs'!B12</f>
        <v>0.14285714285714285</v>
      </c>
      <c r="D12" s="5"/>
      <c r="E12" s="5" t="s">
        <v>18</v>
      </c>
      <c r="F12" s="5">
        <f>d_1-sigma*SQRT(T)</f>
        <v>-0.28568920410510273</v>
      </c>
      <c r="G12" s="5"/>
      <c r="H12" s="5"/>
    </row>
    <row r="13" spans="1:8" x14ac:dyDescent="0.2">
      <c r="A13" t="s">
        <v>2</v>
      </c>
      <c r="B13">
        <f>'Cal. of Appropriate Inputs'!B13</f>
        <v>170</v>
      </c>
      <c r="D13" s="5"/>
      <c r="E13" s="39" t="s">
        <v>19</v>
      </c>
      <c r="F13" s="40">
        <f>(S*EXP(-q*T)*_xlfn.NORM.DIST(d_1,0,1,TRUE))-(K*EXP(-rf*T)*_xlfn.NORM.DIST(d_2,0,1,TRUE))</f>
        <v>5.049999828609117</v>
      </c>
      <c r="G13" s="5"/>
      <c r="H13" s="5"/>
    </row>
    <row r="14" spans="1:8" x14ac:dyDescent="0.2">
      <c r="A14" t="s">
        <v>9</v>
      </c>
      <c r="B14" s="31">
        <v>0.27201440809734995</v>
      </c>
      <c r="D14" s="5"/>
      <c r="E14" s="39"/>
      <c r="F14" s="40"/>
      <c r="G14" s="5"/>
      <c r="H14" s="5"/>
    </row>
    <row r="15" spans="1:8" x14ac:dyDescent="0.2">
      <c r="A15" t="s">
        <v>3</v>
      </c>
      <c r="B15" s="4">
        <f>'Cal. of Appropriate Inputs'!B17</f>
        <v>2.3999999999999998E-3</v>
      </c>
      <c r="D15" s="5"/>
      <c r="E15" s="39"/>
      <c r="F15" s="40"/>
      <c r="G15" s="5"/>
      <c r="H15" s="5"/>
    </row>
    <row r="16" spans="1:8" x14ac:dyDescent="0.2">
      <c r="A16" t="s">
        <v>4</v>
      </c>
      <c r="B16">
        <f>'Cal. of Appropriate Inputs'!B18</f>
        <v>5</v>
      </c>
    </row>
    <row r="17" spans="1:6" x14ac:dyDescent="0.2">
      <c r="A17" t="s">
        <v>5</v>
      </c>
      <c r="B17">
        <f>B12/B16</f>
        <v>2.8571428571428571E-2</v>
      </c>
      <c r="E17" s="29" t="s">
        <v>30</v>
      </c>
      <c r="F17" s="29">
        <f>5.05</f>
        <v>5.05</v>
      </c>
    </row>
    <row r="18" spans="1:6" x14ac:dyDescent="0.2">
      <c r="A18" t="s">
        <v>15</v>
      </c>
      <c r="B18" s="4">
        <f>'Cal. of Appropriate Inputs'!B20</f>
        <v>5.5999999999999999E-3</v>
      </c>
      <c r="E18" s="20" t="s">
        <v>44</v>
      </c>
      <c r="F18" s="20">
        <f>F13-F17</f>
        <v>-1.7139088281936665E-7</v>
      </c>
    </row>
    <row r="20" spans="1:6" x14ac:dyDescent="0.2">
      <c r="B20" s="1"/>
    </row>
    <row r="21" spans="1:6" x14ac:dyDescent="0.2">
      <c r="B21" s="1"/>
      <c r="E21" s="8"/>
    </row>
    <row r="22" spans="1:6" x14ac:dyDescent="0.2">
      <c r="B22" s="1"/>
    </row>
    <row r="23" spans="1:6" x14ac:dyDescent="0.2">
      <c r="B23" s="1"/>
    </row>
  </sheetData>
  <mergeCells count="3">
    <mergeCell ref="D9:H9"/>
    <mergeCell ref="E13:E15"/>
    <mergeCell ref="F13:F15"/>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4C893-6E3E-4F5A-B450-199CE2695840}">
  <dimension ref="A7:O49"/>
  <sheetViews>
    <sheetView tabSelected="1" workbookViewId="0">
      <selection activeCell="L19" sqref="L19"/>
    </sheetView>
  </sheetViews>
  <sheetFormatPr baseColWidth="10" defaultColWidth="11.1640625" defaultRowHeight="16" x14ac:dyDescent="0.2"/>
  <cols>
    <col min="1" max="1" width="19.1640625" customWidth="1"/>
    <col min="12" max="12" width="18.33203125" customWidth="1"/>
  </cols>
  <sheetData>
    <row r="7" spans="1:15" x14ac:dyDescent="0.2">
      <c r="D7" s="42" t="s">
        <v>14</v>
      </c>
      <c r="E7" s="42"/>
      <c r="F7" s="42"/>
      <c r="G7" s="42"/>
      <c r="H7" s="42"/>
      <c r="I7" s="42"/>
      <c r="K7" s="38" t="s">
        <v>16</v>
      </c>
      <c r="L7" s="38"/>
      <c r="M7" s="38"/>
      <c r="N7" s="38"/>
      <c r="O7" s="38"/>
    </row>
    <row r="8" spans="1:15" x14ac:dyDescent="0.2">
      <c r="A8" t="s">
        <v>0</v>
      </c>
      <c r="D8" s="41" t="s">
        <v>10</v>
      </c>
      <c r="E8" s="41"/>
      <c r="F8" s="41"/>
      <c r="G8" s="41"/>
      <c r="H8" s="41"/>
      <c r="I8" s="41"/>
      <c r="K8" s="5"/>
      <c r="L8" s="5"/>
      <c r="M8" s="5"/>
      <c r="N8" s="5"/>
      <c r="O8" s="5"/>
    </row>
    <row r="9" spans="1:15" x14ac:dyDescent="0.2">
      <c r="A9" t="s">
        <v>6</v>
      </c>
      <c r="B9">
        <f>'Cal. of Appropriate Inputs'!B9</f>
        <v>166.03</v>
      </c>
      <c r="D9" s="6">
        <v>0</v>
      </c>
      <c r="E9" s="6">
        <v>1</v>
      </c>
      <c r="F9" s="6">
        <v>2</v>
      </c>
      <c r="G9" s="6">
        <v>3</v>
      </c>
      <c r="H9" s="6">
        <v>4</v>
      </c>
      <c r="I9" s="6">
        <v>5</v>
      </c>
      <c r="K9" s="5"/>
      <c r="L9" s="5" t="s">
        <v>17</v>
      </c>
      <c r="M9" s="5">
        <f>(LN(S/K)+(rf-q+(sigma^2)/2)*T)/(sigma*SQRT(T))</f>
        <v>-0.17111703788934016</v>
      </c>
      <c r="N9" s="5"/>
      <c r="O9" s="5"/>
    </row>
    <row r="10" spans="1:15" x14ac:dyDescent="0.2">
      <c r="A10" t="s">
        <v>1</v>
      </c>
      <c r="B10">
        <f>'Cal. of Appropriate Inputs'!B12</f>
        <v>0.14285714285714285</v>
      </c>
      <c r="D10" s="2"/>
      <c r="E10" s="2"/>
      <c r="F10" s="2"/>
      <c r="G10" s="2"/>
      <c r="H10" s="2"/>
      <c r="I10" s="3">
        <f>H11*B18</f>
        <v>210.99917880745622</v>
      </c>
      <c r="K10" s="5"/>
      <c r="L10" s="5" t="s">
        <v>18</v>
      </c>
      <c r="M10" s="5">
        <f>d_1-sigma*SQRT(T)</f>
        <v>-0.27830776243475697</v>
      </c>
      <c r="N10" s="5"/>
      <c r="O10" s="5"/>
    </row>
    <row r="11" spans="1:15" x14ac:dyDescent="0.2">
      <c r="A11" t="s">
        <v>2</v>
      </c>
      <c r="B11">
        <f>'Cal. of Appropriate Inputs'!B13</f>
        <v>170</v>
      </c>
      <c r="D11" s="2"/>
      <c r="E11" s="2"/>
      <c r="F11" s="2"/>
      <c r="G11" s="2"/>
      <c r="H11" s="3">
        <f>G12*B18</f>
        <v>201.12308669087645</v>
      </c>
      <c r="I11" s="3"/>
      <c r="K11" s="5"/>
      <c r="L11" s="43" t="s">
        <v>19</v>
      </c>
      <c r="M11" s="40">
        <f>(S*EXP(-q*T)*_xlfn.NORM.DIST(d_1,0,1,TRUE))-(K*EXP(-rf*T)*_xlfn.NORM.DIST(d_2,0,1,TRUE))</f>
        <v>5.3353106873994705</v>
      </c>
      <c r="N11" s="5"/>
      <c r="O11" s="5"/>
    </row>
    <row r="12" spans="1:15" x14ac:dyDescent="0.2">
      <c r="A12" t="s">
        <v>9</v>
      </c>
      <c r="B12" s="32">
        <v>0.28360000000000002</v>
      </c>
      <c r="D12" s="2"/>
      <c r="E12" s="2"/>
      <c r="F12" s="2"/>
      <c r="G12" s="3">
        <f>F13*B18</f>
        <v>191.70925796340765</v>
      </c>
      <c r="H12" s="3"/>
      <c r="I12" s="3">
        <f>H13*B18</f>
        <v>191.70925796340765</v>
      </c>
      <c r="K12" s="5"/>
      <c r="L12" s="43"/>
      <c r="M12" s="40"/>
      <c r="N12" s="5"/>
      <c r="O12" s="5"/>
    </row>
    <row r="13" spans="1:15" x14ac:dyDescent="0.2">
      <c r="A13" t="s">
        <v>3</v>
      </c>
      <c r="B13" s="4">
        <f>'Cal. of Appropriate Inputs'!B17</f>
        <v>2.3999999999999998E-3</v>
      </c>
      <c r="D13" s="2"/>
      <c r="E13" s="2"/>
      <c r="F13" s="3">
        <f>E14*B18</f>
        <v>182.73605578343376</v>
      </c>
      <c r="G13" s="3"/>
      <c r="H13" s="3">
        <f>G12*B19</f>
        <v>182.73605578343376</v>
      </c>
      <c r="I13" s="3"/>
      <c r="K13" s="5"/>
      <c r="L13" s="43"/>
      <c r="M13" s="40"/>
      <c r="N13" s="5"/>
      <c r="O13" s="5"/>
    </row>
    <row r="14" spans="1:15" x14ac:dyDescent="0.2">
      <c r="A14" t="s">
        <v>4</v>
      </c>
      <c r="B14">
        <f>'Cal. of Appropriate Inputs'!B18</f>
        <v>5</v>
      </c>
      <c r="D14" s="2"/>
      <c r="E14" s="3">
        <f>D15*B18</f>
        <v>174.18285604996694</v>
      </c>
      <c r="F14" s="3"/>
      <c r="G14" s="3">
        <f>F13*B19</f>
        <v>174.18285604996694</v>
      </c>
      <c r="H14" s="3"/>
      <c r="I14" s="3">
        <f>H13*B19</f>
        <v>174.18285604996694</v>
      </c>
    </row>
    <row r="15" spans="1:15" x14ac:dyDescent="0.2">
      <c r="A15" t="s">
        <v>5</v>
      </c>
      <c r="B15">
        <f>B10/B14</f>
        <v>2.8571428571428571E-2</v>
      </c>
      <c r="D15" s="2">
        <f>S</f>
        <v>166.03</v>
      </c>
      <c r="E15" s="3"/>
      <c r="F15" s="3">
        <f>E16*B18</f>
        <v>166.03</v>
      </c>
      <c r="G15" s="3"/>
      <c r="H15" s="3">
        <f>G14*B19</f>
        <v>166.02999999999997</v>
      </c>
      <c r="I15" s="3"/>
    </row>
    <row r="16" spans="1:15" x14ac:dyDescent="0.2">
      <c r="A16" t="s">
        <v>15</v>
      </c>
      <c r="B16" s="4">
        <f>'Cal. of Appropriate Inputs'!B20</f>
        <v>5.5999999999999999E-3</v>
      </c>
      <c r="D16" s="2"/>
      <c r="E16" s="3">
        <f>D15*B19</f>
        <v>158.25874902460143</v>
      </c>
      <c r="F16" s="3"/>
      <c r="G16" s="3">
        <f>F17*B18</f>
        <v>158.25874902460143</v>
      </c>
      <c r="H16" s="3"/>
      <c r="I16" s="3">
        <f>H15*B19</f>
        <v>158.2587490246014</v>
      </c>
    </row>
    <row r="17" spans="1:12" x14ac:dyDescent="0.2">
      <c r="D17" s="2"/>
      <c r="E17" s="2"/>
      <c r="F17" s="3">
        <f>E16*B19</f>
        <v>150.85124159990232</v>
      </c>
      <c r="G17" s="3"/>
      <c r="H17" s="3">
        <f>G16*B19</f>
        <v>150.85124159990232</v>
      </c>
      <c r="I17" s="3"/>
    </row>
    <row r="18" spans="1:12" x14ac:dyDescent="0.2">
      <c r="A18" t="s">
        <v>7</v>
      </c>
      <c r="B18" s="24">
        <f>EXP(B12*SQRT(B15))</f>
        <v>1.0491047163161293</v>
      </c>
      <c r="D18" s="2"/>
      <c r="E18" s="2"/>
      <c r="F18" s="2"/>
      <c r="G18" s="3">
        <f>F17*B19</f>
        <v>143.79045223398455</v>
      </c>
      <c r="H18" s="3"/>
      <c r="I18" s="3">
        <f>H17*B19</f>
        <v>143.79045223398455</v>
      </c>
    </row>
    <row r="19" spans="1:12" x14ac:dyDescent="0.2">
      <c r="A19" t="s">
        <v>8</v>
      </c>
      <c r="B19" s="24">
        <f>1/B18</f>
        <v>0.95319369405891363</v>
      </c>
      <c r="D19" s="2"/>
      <c r="E19" s="2"/>
      <c r="F19" s="2"/>
      <c r="G19" s="2"/>
      <c r="H19" s="3">
        <f>G18*B19</f>
        <v>137.06015233531352</v>
      </c>
      <c r="I19" s="3"/>
      <c r="L19" s="8"/>
    </row>
    <row r="20" spans="1:12" x14ac:dyDescent="0.2">
      <c r="A20" t="s">
        <v>11</v>
      </c>
      <c r="B20" s="24">
        <f>(EXP(B13*B15)-B19)/(B18-B19)</f>
        <v>0.48873297998036241</v>
      </c>
      <c r="D20" s="2"/>
      <c r="E20" s="2"/>
      <c r="F20" s="2"/>
      <c r="G20" s="2"/>
      <c r="H20" s="2"/>
      <c r="I20" s="3">
        <f>H19*B19</f>
        <v>130.64487291277493</v>
      </c>
    </row>
    <row r="21" spans="1:12" x14ac:dyDescent="0.2">
      <c r="A21" t="s">
        <v>12</v>
      </c>
      <c r="B21" s="24">
        <f>1-$B$20</f>
        <v>0.51126702001963764</v>
      </c>
      <c r="D21" s="2"/>
      <c r="E21" s="2"/>
      <c r="F21" s="2"/>
      <c r="G21" s="2"/>
      <c r="H21" s="2"/>
      <c r="I21" s="2"/>
    </row>
    <row r="22" spans="1:12" x14ac:dyDescent="0.2">
      <c r="D22" s="41" t="s">
        <v>13</v>
      </c>
      <c r="E22" s="41"/>
      <c r="F22" s="41"/>
      <c r="G22" s="41"/>
      <c r="H22" s="41"/>
      <c r="I22" s="41"/>
    </row>
    <row r="23" spans="1:12" x14ac:dyDescent="0.2">
      <c r="D23" s="6">
        <v>0</v>
      </c>
      <c r="E23" s="6">
        <v>1</v>
      </c>
      <c r="F23" s="6">
        <v>2</v>
      </c>
      <c r="G23" s="6">
        <v>3</v>
      </c>
      <c r="H23" s="6">
        <v>4</v>
      </c>
      <c r="I23" s="6">
        <v>5</v>
      </c>
    </row>
    <row r="24" spans="1:12" x14ac:dyDescent="0.2">
      <c r="D24" s="2"/>
      <c r="E24" s="2"/>
      <c r="F24" s="2"/>
      <c r="G24" s="2"/>
      <c r="H24" s="2"/>
      <c r="I24" s="3">
        <f>MAX(0,I10-B11)</f>
        <v>40.999178807456218</v>
      </c>
    </row>
    <row r="25" spans="1:12" x14ac:dyDescent="0.2">
      <c r="D25" s="2"/>
      <c r="E25" s="2"/>
      <c r="F25" s="2"/>
      <c r="G25" s="2"/>
      <c r="H25" s="3">
        <f>MAX((I24*p+I26*pnot)*EXP((-1)*rf*dt),H11-K)</f>
        <v>31.134743434069243</v>
      </c>
      <c r="I25" s="3"/>
    </row>
    <row r="26" spans="1:12" x14ac:dyDescent="0.2">
      <c r="D26" s="2"/>
      <c r="E26" s="2"/>
      <c r="F26" s="2"/>
      <c r="G26" s="3">
        <f>MAX((H25*p+H27*pnot)*EXP((-1)*rf*dt),G12-K)</f>
        <v>21.732570650501135</v>
      </c>
      <c r="H26" s="3"/>
      <c r="I26" s="3">
        <f>MAX(0,I12-B11)</f>
        <v>21.709257963407651</v>
      </c>
    </row>
    <row r="27" spans="1:12" x14ac:dyDescent="0.2">
      <c r="D27" s="2"/>
      <c r="E27" s="2"/>
      <c r="F27" s="3">
        <f>MAX((G26*p+G28*pnot)*EXP((-1)*rf*dt),F13-K)</f>
        <v>14.339826457315132</v>
      </c>
      <c r="G27" s="3"/>
      <c r="H27" s="3">
        <f>MAX((I26*p+I28*pnot)*EXP((-1)*rf*dt),H13-K)</f>
        <v>12.747712526626561</v>
      </c>
      <c r="I27" s="3"/>
    </row>
    <row r="28" spans="1:12" x14ac:dyDescent="0.2">
      <c r="D28" s="2"/>
      <c r="E28" s="3">
        <f>MAX((F27*p+F29*pnot)*EXP((-1)*rf*dt),E14-K)</f>
        <v>9.0864942252648895</v>
      </c>
      <c r="F28" s="3"/>
      <c r="G28" s="3">
        <f>MAX((H27*p+H29*pnot)*EXP((-1)*rf*dt),G14-K)</f>
        <v>7.2748400172941512</v>
      </c>
      <c r="H28" s="3"/>
      <c r="I28" s="3">
        <f>MAX(0,I14-B11)</f>
        <v>4.1828560499669436</v>
      </c>
    </row>
    <row r="29" spans="1:12" x14ac:dyDescent="0.2">
      <c r="D29" s="3">
        <f>MAX((E28*p+E30*pnot)*EXP((-1)*rf*dt),D15-K)</f>
        <v>5.583984868674289</v>
      </c>
      <c r="E29" s="3"/>
      <c r="F29" s="3">
        <f>MAX((G28*p+G30*pnot)*EXP((-1)*rf*dt),F15-K)</f>
        <v>4.0659207854888253</v>
      </c>
      <c r="G29" s="3"/>
      <c r="H29" s="3">
        <f>MAX((I28*p+I30*pnot)*EXP((-1)*rf*dt),H15-K)</f>
        <v>2.0441595263843095</v>
      </c>
      <c r="I29" s="3"/>
    </row>
    <row r="30" spans="1:12" x14ac:dyDescent="0.2">
      <c r="D30" s="2"/>
      <c r="E30" s="3">
        <f>MAX((F29*p+F31*pnot)*EXP((-1)*rf*dt),E16-K)</f>
        <v>2.236597195904074</v>
      </c>
      <c r="F30" s="3"/>
      <c r="G30" s="3">
        <f>MAX((H29*p+H31*pnot)*EXP((-1)*rf*dt),G16-K)</f>
        <v>0.99897967307307811</v>
      </c>
      <c r="H30" s="3"/>
      <c r="I30" s="3">
        <f>MAX(0,I16-$B$11)</f>
        <v>0</v>
      </c>
    </row>
    <row r="31" spans="1:12" x14ac:dyDescent="0.2">
      <c r="D31" s="2"/>
      <c r="E31" s="2"/>
      <c r="F31" s="3">
        <f>MAX((G30*p+G32*pnot)*EXP((-1)*rf*dt),F17-K)</f>
        <v>0.48820083478434639</v>
      </c>
      <c r="G31" s="3"/>
      <c r="H31" s="3">
        <f>MAX((I30*p+I32*pnot)*EXP((-1)*rf*dt),H17-K)</f>
        <v>0</v>
      </c>
      <c r="I31" s="3"/>
    </row>
    <row r="32" spans="1:12" x14ac:dyDescent="0.2">
      <c r="D32" s="2"/>
      <c r="E32" s="2"/>
      <c r="F32" s="2"/>
      <c r="G32" s="3">
        <f>MAX((H31*p+H33*pnot)*EXP((-1)*rf*dt),G18-K)</f>
        <v>0</v>
      </c>
      <c r="H32" s="3"/>
      <c r="I32" s="3">
        <f>MAX(0,I18-$B$11)</f>
        <v>0</v>
      </c>
    </row>
    <row r="33" spans="4:9" x14ac:dyDescent="0.2">
      <c r="D33" s="2"/>
      <c r="E33" s="2"/>
      <c r="F33" s="2"/>
      <c r="G33" s="2"/>
      <c r="H33" s="3">
        <f>MAX((I32*p+I34*pnot)*EXP((-1)*rf*dt),H19-K)</f>
        <v>0</v>
      </c>
      <c r="I33" s="3"/>
    </row>
    <row r="34" spans="4:9" x14ac:dyDescent="0.2">
      <c r="D34" s="2"/>
      <c r="E34" s="2"/>
      <c r="F34" s="2"/>
      <c r="G34" s="2"/>
      <c r="H34" s="2"/>
      <c r="I34" s="3">
        <f>MAX(0,I20-$B$11)</f>
        <v>0</v>
      </c>
    </row>
    <row r="35" spans="4:9" x14ac:dyDescent="0.2">
      <c r="D35" s="2"/>
      <c r="E35" s="2"/>
      <c r="F35" s="2"/>
      <c r="G35" s="2"/>
      <c r="H35" s="2"/>
      <c r="I35" s="2"/>
    </row>
    <row r="37" spans="4:9" x14ac:dyDescent="0.2">
      <c r="D37" s="41" t="s">
        <v>29</v>
      </c>
      <c r="E37" s="41"/>
      <c r="F37" s="41"/>
      <c r="G37" s="41"/>
      <c r="H37" s="41"/>
      <c r="I37" s="41"/>
    </row>
    <row r="38" spans="4:9" x14ac:dyDescent="0.2">
      <c r="D38" s="6">
        <v>0</v>
      </c>
      <c r="E38" s="6">
        <v>1</v>
      </c>
      <c r="F38" s="6">
        <v>2</v>
      </c>
      <c r="G38" s="6">
        <v>3</v>
      </c>
      <c r="H38" s="6">
        <v>4</v>
      </c>
      <c r="I38" s="6">
        <v>5</v>
      </c>
    </row>
    <row r="39" spans="4:9" x14ac:dyDescent="0.2">
      <c r="D39" s="2"/>
      <c r="E39" s="2"/>
      <c r="F39" s="2"/>
      <c r="G39" s="2"/>
      <c r="H39" s="2"/>
      <c r="I39" s="3">
        <v>0</v>
      </c>
    </row>
    <row r="40" spans="4:9" x14ac:dyDescent="0.2">
      <c r="D40" s="2"/>
      <c r="E40" s="2"/>
      <c r="F40" s="2"/>
      <c r="G40" s="2"/>
      <c r="H40" s="3">
        <f>(I24-I26)/(I10-I12)</f>
        <v>1</v>
      </c>
      <c r="I40" s="3"/>
    </row>
    <row r="41" spans="4:9" x14ac:dyDescent="0.2">
      <c r="D41" s="2"/>
      <c r="E41" s="2"/>
      <c r="F41" s="2"/>
      <c r="G41" s="3">
        <f>(H25-H27)/(H11-H13)</f>
        <v>0.99999999999999944</v>
      </c>
      <c r="H41" s="3"/>
      <c r="I41" s="3">
        <v>0</v>
      </c>
    </row>
    <row r="42" spans="4:9" x14ac:dyDescent="0.2">
      <c r="D42" s="2"/>
      <c r="E42" s="2"/>
      <c r="F42" s="3">
        <f>(G26-G28)/(G12-G14)</f>
        <v>0.82491150805571734</v>
      </c>
      <c r="G42" s="3"/>
      <c r="H42" s="3">
        <f>(I26-I28)/(I12-I14)</f>
        <v>1</v>
      </c>
      <c r="I42" s="3"/>
    </row>
    <row r="43" spans="4:9" x14ac:dyDescent="0.2">
      <c r="D43" s="2"/>
      <c r="E43" s="3">
        <f>(F27-F29)/(F13-F15)</f>
        <v>0.61498092697704454</v>
      </c>
      <c r="F43" s="3"/>
      <c r="G43" s="3">
        <f>(H27-H29)/(H13-H15)</f>
        <v>0.64069898598424468</v>
      </c>
      <c r="H43" s="3"/>
      <c r="I43" s="3">
        <v>0</v>
      </c>
    </row>
    <row r="44" spans="4:9" x14ac:dyDescent="0.2">
      <c r="D44" s="3">
        <f>(E28-E30)/(E14-E16)</f>
        <v>0.43015894193938864</v>
      </c>
      <c r="E44" s="3"/>
      <c r="F44" s="3">
        <f>(G28-G30)/(G14-G16)</f>
        <v>0.39411066091330915</v>
      </c>
      <c r="G44" s="3"/>
      <c r="H44" s="3">
        <f>(I28-I30)/(I14-I16)</f>
        <v>0.26267444970723092</v>
      </c>
      <c r="I44" s="3"/>
    </row>
    <row r="45" spans="4:9" x14ac:dyDescent="0.2">
      <c r="D45" s="2"/>
      <c r="E45" s="3">
        <f>(F29-F31)/(F15-F17)</f>
        <v>0.23570570506487906</v>
      </c>
      <c r="F45" s="3"/>
      <c r="G45" s="3">
        <f>(H29-H31)/(H15-H17)</f>
        <v>0.13467238047422633</v>
      </c>
      <c r="H45" s="3"/>
      <c r="I45" s="3">
        <v>0</v>
      </c>
    </row>
    <row r="46" spans="4:9" x14ac:dyDescent="0.2">
      <c r="D46" s="2"/>
      <c r="E46" s="2"/>
      <c r="F46" s="3">
        <f>(G30-G32)/(G16-G18)</f>
        <v>6.904611424068563E-2</v>
      </c>
      <c r="G46" s="3"/>
      <c r="H46" s="3">
        <f>(I30-I32)/(I16-I18)</f>
        <v>0</v>
      </c>
      <c r="I46" s="3"/>
    </row>
    <row r="47" spans="4:9" x14ac:dyDescent="0.2">
      <c r="D47" s="2"/>
      <c r="E47" s="2"/>
      <c r="F47" s="2"/>
      <c r="G47" s="3">
        <f>(H31-H33)/(H17-H19)</f>
        <v>0</v>
      </c>
      <c r="H47" s="3"/>
      <c r="I47" s="3">
        <v>0</v>
      </c>
    </row>
    <row r="48" spans="4:9" x14ac:dyDescent="0.2">
      <c r="D48" s="2"/>
      <c r="E48" s="2"/>
      <c r="F48" s="2"/>
      <c r="G48" s="2"/>
      <c r="H48" s="3">
        <f>(I32-I34)/(I18-I20)</f>
        <v>0</v>
      </c>
      <c r="I48" s="3"/>
    </row>
    <row r="49" spans="4:9" x14ac:dyDescent="0.2">
      <c r="D49" s="2"/>
      <c r="E49" s="2"/>
      <c r="F49" s="2"/>
      <c r="G49" s="2"/>
      <c r="H49" s="2"/>
      <c r="I49" s="3">
        <v>0</v>
      </c>
    </row>
  </sheetData>
  <mergeCells count="7">
    <mergeCell ref="D37:I37"/>
    <mergeCell ref="D22:I22"/>
    <mergeCell ref="D7:I7"/>
    <mergeCell ref="K7:O7"/>
    <mergeCell ref="D8:I8"/>
    <mergeCell ref="L11:L13"/>
    <mergeCell ref="M11:M1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246EC-C8E2-4E70-9DE9-026B11BB5871}">
  <dimension ref="A10:H27"/>
  <sheetViews>
    <sheetView topLeftCell="A13" workbookViewId="0">
      <selection activeCell="H31" sqref="H31"/>
    </sheetView>
  </sheetViews>
  <sheetFormatPr baseColWidth="10" defaultColWidth="8.83203125" defaultRowHeight="16" x14ac:dyDescent="0.2"/>
  <cols>
    <col min="1" max="1" width="22" bestFit="1" customWidth="1"/>
    <col min="2" max="2" width="10.5" bestFit="1" customWidth="1"/>
    <col min="3" max="3" width="14" customWidth="1"/>
    <col min="4" max="5" width="11.83203125" customWidth="1"/>
    <col min="6" max="6" width="3.33203125" customWidth="1"/>
    <col min="7" max="7" width="11.33203125" customWidth="1"/>
    <col min="8" max="8" width="10.6640625" bestFit="1" customWidth="1"/>
  </cols>
  <sheetData>
    <row r="10" spans="1:2" x14ac:dyDescent="0.2">
      <c r="A10" t="s">
        <v>34</v>
      </c>
      <c r="B10">
        <f>'Cal. of Appropriate Inputs'!B13</f>
        <v>170</v>
      </c>
    </row>
    <row r="11" spans="1:2" x14ac:dyDescent="0.2">
      <c r="A11" t="s">
        <v>35</v>
      </c>
      <c r="B11" s="13">
        <f>'Cal. of Appropriate Inputs'!B16</f>
        <v>0.21846776717585359</v>
      </c>
    </row>
    <row r="12" spans="1:2" x14ac:dyDescent="0.2">
      <c r="A12" t="s">
        <v>36</v>
      </c>
      <c r="B12" s="4">
        <f>'Cal. of Appropriate Inputs'!B17</f>
        <v>2.3999999999999998E-3</v>
      </c>
    </row>
    <row r="13" spans="1:2" x14ac:dyDescent="0.2">
      <c r="A13" t="s">
        <v>37</v>
      </c>
      <c r="B13">
        <f>'Cal. of Appropriate Inputs'!B11</f>
        <v>252</v>
      </c>
    </row>
    <row r="14" spans="1:2" x14ac:dyDescent="0.2">
      <c r="A14" t="s">
        <v>38</v>
      </c>
      <c r="B14" s="30">
        <v>10</v>
      </c>
    </row>
    <row r="15" spans="1:2" x14ac:dyDescent="0.2">
      <c r="A15" t="s">
        <v>39</v>
      </c>
      <c r="B15" s="20">
        <f>B14*100</f>
        <v>1000</v>
      </c>
    </row>
    <row r="16" spans="1:2" x14ac:dyDescent="0.2">
      <c r="A16" t="s">
        <v>33</v>
      </c>
      <c r="B16" s="1">
        <f>'Delta using implied volatility'!$D$44</f>
        <v>0.43015894193938864</v>
      </c>
    </row>
    <row r="17" spans="1:8" x14ac:dyDescent="0.2">
      <c r="A17" t="s">
        <v>46</v>
      </c>
      <c r="B17" s="20">
        <f>ROUND(B16*B15,0)</f>
        <v>430</v>
      </c>
    </row>
    <row r="18" spans="1:8" ht="15.5" customHeight="1" x14ac:dyDescent="0.2">
      <c r="C18" s="16"/>
      <c r="D18" s="17"/>
      <c r="E18" s="17"/>
    </row>
    <row r="19" spans="1:8" s="11" customFormat="1" ht="34" x14ac:dyDescent="0.2">
      <c r="A19" s="11" t="s">
        <v>22</v>
      </c>
      <c r="B19" s="12" t="s">
        <v>23</v>
      </c>
      <c r="C19" s="33" t="s">
        <v>42</v>
      </c>
      <c r="D19" s="17" t="s">
        <v>40</v>
      </c>
      <c r="E19" s="33" t="s">
        <v>41</v>
      </c>
      <c r="G19" s="11" t="s">
        <v>43</v>
      </c>
    </row>
    <row r="20" spans="1:8" x14ac:dyDescent="0.2">
      <c r="A20" s="10">
        <v>44530</v>
      </c>
      <c r="B20" s="28">
        <v>166.03</v>
      </c>
      <c r="C20" s="20"/>
      <c r="D20" s="29">
        <v>5.05</v>
      </c>
      <c r="E20" s="20"/>
    </row>
    <row r="21" spans="1:8" x14ac:dyDescent="0.2">
      <c r="A21" s="10">
        <v>44531</v>
      </c>
      <c r="B21" s="28">
        <v>168.31</v>
      </c>
      <c r="C21" s="26">
        <f>((B21-$B$20)*(-1)*$B$17)</f>
        <v>-980.40000000000055</v>
      </c>
      <c r="D21" s="29">
        <v>6.8</v>
      </c>
      <c r="E21" s="26">
        <f>((D21-$D$20)*$B$15)</f>
        <v>1750</v>
      </c>
      <c r="G21" s="24">
        <f>E21+C21</f>
        <v>769.59999999999945</v>
      </c>
    </row>
    <row r="22" spans="1:8" x14ac:dyDescent="0.2">
      <c r="A22" s="10">
        <v>44532</v>
      </c>
      <c r="B22" s="29">
        <v>163.12</v>
      </c>
      <c r="C22" s="26">
        <f t="shared" ref="C22:C25" si="0">((B22-$B$20)*(-1)*$B$17)</f>
        <v>1251.2999999999986</v>
      </c>
      <c r="D22" s="29">
        <v>4.1500000000000004</v>
      </c>
      <c r="E22" s="26">
        <f>((D22-$D$20)*$B$15)</f>
        <v>-899.99999999999943</v>
      </c>
      <c r="G22" s="24">
        <f>E22+C22</f>
        <v>351.29999999999916</v>
      </c>
    </row>
    <row r="23" spans="1:8" x14ac:dyDescent="0.2">
      <c r="A23" s="10">
        <v>44533</v>
      </c>
      <c r="B23" s="29">
        <v>160.88999999999999</v>
      </c>
      <c r="C23" s="26">
        <f t="shared" si="0"/>
        <v>2210.2000000000062</v>
      </c>
      <c r="D23" s="29">
        <v>3.55</v>
      </c>
      <c r="E23" s="26">
        <f>((D23-$D$20)*$B$15)</f>
        <v>-1500</v>
      </c>
      <c r="G23" s="24">
        <f>E23+C23</f>
        <v>710.20000000000618</v>
      </c>
    </row>
    <row r="24" spans="1:8" x14ac:dyDescent="0.2">
      <c r="A24" s="15">
        <v>44536</v>
      </c>
      <c r="B24" s="29">
        <v>165.53</v>
      </c>
      <c r="C24" s="26">
        <f t="shared" si="0"/>
        <v>215</v>
      </c>
      <c r="D24" s="29">
        <v>4.75</v>
      </c>
      <c r="E24" s="26">
        <f>((D24-$D$20)*$B$15)</f>
        <v>-299.99999999999983</v>
      </c>
      <c r="G24" s="24">
        <f>E24+C24</f>
        <v>-84.999999999999829</v>
      </c>
    </row>
    <row r="25" spans="1:8" x14ac:dyDescent="0.2">
      <c r="A25" s="15">
        <v>44537</v>
      </c>
      <c r="B25" s="29">
        <v>170.97</v>
      </c>
      <c r="C25" s="26">
        <f t="shared" si="0"/>
        <v>-2124.1999999999989</v>
      </c>
      <c r="D25" s="29">
        <v>7.65</v>
      </c>
      <c r="E25" s="26">
        <f>((D25-$D$20)*$B$15)</f>
        <v>2600.0000000000005</v>
      </c>
      <c r="G25" s="24">
        <f>E25+C25</f>
        <v>475.80000000000155</v>
      </c>
    </row>
    <row r="26" spans="1:8" x14ac:dyDescent="0.2">
      <c r="A26" s="9"/>
      <c r="B26" s="9"/>
    </row>
    <row r="27" spans="1:8" x14ac:dyDescent="0.2">
      <c r="G27" s="24">
        <f>_xlfn.STDEV.P(G21:G25)</f>
        <v>305.39240593046924</v>
      </c>
      <c r="H27" t="s">
        <v>47</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Introduction</vt:lpstr>
      <vt:lpstr>Cal. of Appropriate Inputs</vt:lpstr>
      <vt:lpstr>Pricing Engines </vt:lpstr>
      <vt:lpstr>Delta Hed. using historical dat</vt:lpstr>
      <vt:lpstr>Calc of Implied Volatility</vt:lpstr>
      <vt:lpstr>Delta using implied volatility</vt:lpstr>
      <vt:lpstr>Delta Hed. using implied volati</vt:lpstr>
      <vt:lpstr>'Calc of Implied Volatility'!d</vt:lpstr>
      <vt:lpstr>'Delta using implied volatility'!d</vt:lpstr>
      <vt:lpstr>d</vt:lpstr>
      <vt:lpstr>'Calc of Implied Volatility'!d_1</vt:lpstr>
      <vt:lpstr>'Delta using implied volatility'!d_1</vt:lpstr>
      <vt:lpstr>d_1</vt:lpstr>
      <vt:lpstr>'Calc of Implied Volatility'!d_2</vt:lpstr>
      <vt:lpstr>'Delta using implied volatility'!d_2</vt:lpstr>
      <vt:lpstr>d_2</vt:lpstr>
      <vt:lpstr>'Calc of Implied Volatility'!dt</vt:lpstr>
      <vt:lpstr>'Delta using implied volatility'!dt</vt:lpstr>
      <vt:lpstr>dt</vt:lpstr>
      <vt:lpstr>'Calc of Implied Volatility'!K</vt:lpstr>
      <vt:lpstr>'Delta using implied volatility'!K</vt:lpstr>
      <vt:lpstr>K</vt:lpstr>
      <vt:lpstr>'Calc of Implied Volatility'!n</vt:lpstr>
      <vt:lpstr>'Delta using implied volatility'!n</vt:lpstr>
      <vt:lpstr>n</vt:lpstr>
      <vt:lpstr>'Calc of Implied Volatility'!p</vt:lpstr>
      <vt:lpstr>'Delta using implied volatility'!p</vt:lpstr>
      <vt:lpstr>p</vt:lpstr>
      <vt:lpstr>'Calc of Implied Volatility'!pnot</vt:lpstr>
      <vt:lpstr>'Delta using implied volatility'!pnot</vt:lpstr>
      <vt:lpstr>pnot</vt:lpstr>
      <vt:lpstr>'Calc of Implied Volatility'!q</vt:lpstr>
      <vt:lpstr>'Delta using implied volatility'!q</vt:lpstr>
      <vt:lpstr>q</vt:lpstr>
      <vt:lpstr>'Calc of Implied Volatility'!rf</vt:lpstr>
      <vt:lpstr>'Delta using implied volatility'!rf</vt:lpstr>
      <vt:lpstr>rf</vt:lpstr>
      <vt:lpstr>'Calc of Implied Volatility'!S</vt:lpstr>
      <vt:lpstr>'Delta using implied volatility'!S</vt:lpstr>
      <vt:lpstr>S</vt:lpstr>
      <vt:lpstr>'Calc of Implied Volatility'!sigma</vt:lpstr>
      <vt:lpstr>'Delta using implied volatility'!sigma</vt:lpstr>
      <vt:lpstr>sigma</vt:lpstr>
      <vt:lpstr>'Calc of Implied Volatility'!T</vt:lpstr>
      <vt:lpstr>'Delta using implied volatility'!T</vt:lpstr>
      <vt:lpstr>T</vt:lpstr>
      <vt:lpstr>'Calc of Implied Volatility'!u</vt:lpstr>
      <vt:lpstr>'Delta using implied volatility'!u</vt:lpstr>
      <vt:lpstr>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Robin Bista</dc:creator>
  <cp:lastModifiedBy>Robin Bista</cp:lastModifiedBy>
  <dcterms:created xsi:type="dcterms:W3CDTF">2021-11-30T18:15:39Z</dcterms:created>
  <dcterms:modified xsi:type="dcterms:W3CDTF">2022-08-19T17:00:14Z</dcterms:modified>
</cp:coreProperties>
</file>